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Route P&amp;L" sheetId="3" state="visible" r:id="rId5"/>
    <sheet name="Fleet" sheetId="4" state="visible" r:id="rId6"/>
    <sheet name="Seasonality" sheetId="5" state="visible" r:id="rId7"/>
    <sheet name="Scenario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<sst xmlns="http://schemas.openxmlformats.org/spreadsheetml/2006/main" count="157" uniqueCount="151">
  <si>
    <t xml:space="preserve">Genoa - New York  |  A321XLR business case</t>
  </si>
  <si>
    <t xml:space="preserve">Avia Solutions  |  catchment - demand - economics - seasonality - fleet</t>
  </si>
  <si>
    <t xml:space="preserve">Headline (central planning case)</t>
  </si>
  <si>
    <t xml:space="preserve">Annual profit</t>
  </si>
  <si>
    <t xml:space="preserve">Route margin</t>
  </si>
  <si>
    <t xml:space="preserve">Breakeven load factor</t>
  </si>
  <si>
    <t xml:space="preserve">Directional demand (each way)</t>
  </si>
  <si>
    <t xml:space="preserve">How it is operated changes the number</t>
  </si>
  <si>
    <t xml:space="preserve">Standalone (Genoa-only fleet)</t>
  </si>
  <si>
    <t xml:space="preserve">Network (fleet kept busy)</t>
  </si>
  <si>
    <t xml:space="preserve">The headline charges ownership at a fully-utilised rate, so it is a network number; a single daily Genoa route uses the aircraft 60% and the standalone figure is lower. A seasonal schedule plus winter redeployment is what earns the headline.</t>
  </si>
  <si>
    <t xml:space="preserve">The case in one line</t>
  </si>
  <si>
    <t xml:space="preserve">Genoa's New York travellers leak to Milan today; a Genoa nonstop repatriates its own catchment.</t>
  </si>
  <si>
    <t xml:space="preserve">Fares one-way (2024 Sabre); business fare $1,400 the swing from the old $750; fuel at a $0.90/kg planning price.</t>
  </si>
  <si>
    <t xml:space="preserve">Viable across the band; honest planning is circa 15% margin, with fuel, seasonality and fleet the watchpoints.</t>
  </si>
  <si>
    <t xml:space="preserve">Indicative, for directional guidance only. Built on generic published assumptions, not any airline's actual LOPA, MTOW, contract terms or internal P&amp;L. Catchment, demand and fares anchored to the validated Genoa-New York case; actual results will differ.</t>
  </si>
  <si>
    <t xml:space="preserve">Genoa - New York  |  inputs (blue = change me)</t>
  </si>
  <si>
    <t xml:space="preserve">Commercial inputs</t>
  </si>
  <si>
    <t xml:space="preserve">Capture of leaked catchment</t>
  </si>
  <si>
    <t xml:space="preserve">Frequency (each way / week)</t>
  </si>
  <si>
    <t xml:space="preserve">Planning load-factor cap</t>
  </si>
  <si>
    <t xml:space="preserve">Economy fare, one-way ($)</t>
  </si>
  <si>
    <t xml:space="preserve">Business fare, one-way ($)</t>
  </si>
  <si>
    <t xml:space="preserve">Jet fuel price ($/kg)</t>
  </si>
  <si>
    <t xml:space="preserve">Economy share of demand</t>
  </si>
  <si>
    <t xml:space="preserve">Market adjustment (1.0 = neutral)</t>
  </si>
  <si>
    <t xml:space="preserve">Catchment &amp; demand (from the QSI chain)</t>
  </si>
  <si>
    <t xml:space="preserve">Catchment population</t>
  </si>
  <si>
    <t xml:space="preserve">New York O&amp;D market (Sabre 2024)</t>
  </si>
  <si>
    <t xml:space="preserve">Genoa natural NY catchment</t>
  </si>
  <si>
    <t xml:space="preserve">Carried by Genoa today</t>
  </si>
  <si>
    <t xml:space="preserve">Aircraft &amp; cost constants (A321XLR, validated module)</t>
  </si>
  <si>
    <t xml:space="preserve">Economy seats</t>
  </si>
  <si>
    <t xml:space="preserve">Business seats</t>
  </si>
  <si>
    <t xml:space="preserve">Fuel burn (kg / block-hour)</t>
  </si>
  <si>
    <t xml:space="preserve">Block hours / turnaround</t>
  </si>
  <si>
    <t xml:space="preserve">Annual utilisation (block-hr)</t>
  </si>
  <si>
    <t xml:space="preserve">Blended lease ($/aircraft/month)</t>
  </si>
  <si>
    <t xml:space="preserve">Maintenance ($/turn)</t>
  </si>
  <si>
    <t xml:space="preserve">Ownership ($/turn)</t>
  </si>
  <si>
    <t xml:space="preserve">Crew ($/turn)</t>
  </si>
  <si>
    <t xml:space="preserve">Insurance ($/turn)</t>
  </si>
  <si>
    <t xml:space="preserve">Landing, both ends ($/turn)</t>
  </si>
  <si>
    <t xml:space="preserve">Ground handling ($/turn)</t>
  </si>
  <si>
    <t xml:space="preserve">En-route navigation ($/turn)</t>
  </si>
  <si>
    <t xml:space="preserve">Cargo revenue ($/turn)</t>
  </si>
  <si>
    <t xml:space="preserve">Catering ($/pax)</t>
  </si>
  <si>
    <t xml:space="preserve">Pax airport charge ($/pax)</t>
  </si>
  <si>
    <t xml:space="preserve">Charges recovery ($/pax)</t>
  </si>
  <si>
    <t xml:space="preserve">Route P&amp;L  |  per turnaround and annual (formulas off Inputs)</t>
  </si>
  <si>
    <t xml:space="preserve">Demand &amp; load</t>
  </si>
  <si>
    <t xml:space="preserve">Economy load factor</t>
  </si>
  <si>
    <t xml:space="preserve">Business load factor</t>
  </si>
  <si>
    <t xml:space="preserve">Passengers per turnaround</t>
  </si>
  <si>
    <t xml:space="preserve">Revenue ($/turn)</t>
  </si>
  <si>
    <t xml:space="preserve">Economy</t>
  </si>
  <si>
    <t xml:space="preserve">Business</t>
  </si>
  <si>
    <t xml:space="preserve">Cargo</t>
  </si>
  <si>
    <t xml:space="preserve">Net revenue</t>
  </si>
  <si>
    <t xml:space="preserve">Charges recovery</t>
  </si>
  <si>
    <t xml:space="preserve">Gross revenue</t>
  </si>
  <si>
    <t xml:space="preserve">Cost ($/turn)</t>
  </si>
  <si>
    <t xml:space="preserve">Fuel</t>
  </si>
  <si>
    <t xml:space="preserve">Maintenance</t>
  </si>
  <si>
    <t xml:space="preserve">Catering</t>
  </si>
  <si>
    <t xml:space="preserve">Landing</t>
  </si>
  <si>
    <t xml:space="preserve">Pax airport charges</t>
  </si>
  <si>
    <t xml:space="preserve">En-route navigation</t>
  </si>
  <si>
    <t xml:space="preserve">Ground handling</t>
  </si>
  <si>
    <t xml:space="preserve">Variable cost</t>
  </si>
  <si>
    <t xml:space="preserve">Ownership</t>
  </si>
  <si>
    <t xml:space="preserve">Insurance</t>
  </si>
  <si>
    <t xml:space="preserve">Crew</t>
  </si>
  <si>
    <t xml:space="preserve">Direct fixed</t>
  </si>
  <si>
    <t xml:space="preserve">Admin (5% net)</t>
  </si>
  <si>
    <t xml:space="preserve">Sales (5% net)</t>
  </si>
  <si>
    <t xml:space="preserve">Indirect fixed</t>
  </si>
  <si>
    <t xml:space="preserve">Total cost</t>
  </si>
  <si>
    <t xml:space="preserve">Result</t>
  </si>
  <si>
    <t xml:space="preserve">Profit per turnaround</t>
  </si>
  <si>
    <t xml:space="preserve">Margin</t>
  </si>
  <si>
    <t xml:space="preserve">Annual passengers</t>
  </si>
  <si>
    <t xml:space="preserve">Fleet utilisation &amp; redeployment</t>
  </si>
  <si>
    <t xml:space="preserve">The headline charges ownership at a fully-utilised rate</t>
  </si>
  <si>
    <t xml:space="preserve">Annual block hours</t>
  </si>
  <si>
    <t xml:space="preserve">Aircraft required</t>
  </si>
  <si>
    <t xml:space="preserve">Per-aircraft utilisation</t>
  </si>
  <si>
    <t xml:space="preserve">Utilisation vs full</t>
  </si>
  <si>
    <t xml:space="preserve">Spare block hours / year</t>
  </si>
  <si>
    <t xml:space="preserve">Spare rotations / year</t>
  </si>
  <si>
    <t xml:space="preserve">Ownership recovery</t>
  </si>
  <si>
    <t xml:space="preserve">Ownership charged (annual)</t>
  </si>
  <si>
    <t xml:space="preserve">True cost if dedicated</t>
  </si>
  <si>
    <t xml:space="preserve">Standalone ownership gap</t>
  </si>
  <si>
    <t xml:space="preserve">What the headline assumes</t>
  </si>
  <si>
    <t xml:space="preserve">Network headline (fleet busy)</t>
  </si>
  <si>
    <t xml:space="preserve">Seasonality  |  leisure profile (assumption pending monthly Sabre pull)</t>
  </si>
  <si>
    <t xml:space="preserve">Month</t>
  </si>
  <si>
    <t xml:space="preserve">Days</t>
  </si>
  <si>
    <t xml:space="preserve">Demand index</t>
  </si>
  <si>
    <t xml:space="preserve">Monthly demand</t>
  </si>
  <si>
    <t xml:space="preserve">Flat-daily LF</t>
  </si>
  <si>
    <t xml:space="preserve">Seasonal turns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</si>
  <si>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</si>
  <si>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</si>
  <si>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</si>
  <si>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</si>
  <si>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</si>
  <si>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</si>
  <si>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</si>
  <si>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</si>
  <si>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</si>
  <si>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</si>
  <si>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</si>
  <si>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</si>
  <si>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profit at the central case (leisure profile, daily summer):</t>
  </si>
  <si>
    <t xml:space="preserve">A  nominal flat (plan LF every month)</t>
  </si>
  <si>
    <t xml:space="preserve">B  flat daily, real monthly demand</t>
  </si>
  <si>
    <t xml:space="preserve">C  seasonal schedule (trim winter)</t>
  </si>
  <si>
    <t xml:space="preserve">Snapshot from seasonality_check.py at the central inputs. A daily-all-year schedule under-fills winter at full cost (B); a seasonal schedule recovers most of it (C). Adjust the demand-index column above and re-run seasonality_check.py for other profiles.</t>
  </si>
  <si>
    <t xml:space="preserve">Scenarios  |  annual profit ($m), computed from the model</t>
  </si>
  <si>
    <t xml:space="preserve">Fuel price down the side, capture across (freq 7, plan LF 85%, fares 345/1400, market neutral)</t>
  </si>
  <si>
    <t xml:space="preserve">fuel \ capture</t>
  </si>
  <si>
    <t xml:space="preserve">Market adjustment sensitivity (central case otherwise)</t>
  </si>
  <si>
    <t xml:space="preserve">market</t>
  </si>
  <si>
    <t xml:space="preserve">annual profit ($m)</t>
  </si>
  <si>
    <t xml:space="preserve">Highlighted cell = central planning case (fuel $0.90, capture 65%). Values are a model snapshot; change the Inputs sheet and recalculate to explore other points.</t>
  </si>
  <si>
    <t xml:space="preserve">Assumptions &amp; sources</t>
  </si>
  <si>
    <t xml:space="preserve">Catchment &amp; demand</t>
  </si>
  <si>
    <t xml:space="preserve">GeoNames population, OSRM road times, catchment calibrated to the Sabre point-of-origin split (SSE 0.0009)</t>
  </si>
  <si>
    <t xml:space="preserve">validated</t>
  </si>
  <si>
    <t xml:space="preserve">New York O&amp;D split and fares</t>
  </si>
  <si>
    <t xml:space="preserve">Sabre ODPOO 2024 (validated)</t>
  </si>
  <si>
    <t xml:space="preserve">Fares are one-way; economy $345 entrant yield, business $1,400</t>
  </si>
  <si>
    <t xml:space="preserve">John's entrant-yield judgement, 28 Jun 2026</t>
  </si>
  <si>
    <t xml:space="preserve">Economics</t>
  </si>
  <si>
    <t xml:space="preserve">Cost stack anchored to Project Maverick (E190 validated 0.3%); A321XLR extrapolated</t>
  </si>
  <si>
    <t xml:space="preserve">directional</t>
  </si>
  <si>
    <t xml:space="preserve">Jet fuel $0.90/kg through-cycle planning (spot ~$1.10 June 2026, IATA)</t>
  </si>
  <si>
    <t xml:space="preserve">planning assumption</t>
  </si>
  <si>
    <t xml:space="preserve">Maintenance from Airbus 2024-25 reserve curve</t>
  </si>
  <si>
    <t xml:space="preserve">Ownership from appraiser lease/value, A321neo ~$460k/mo (IBA 2025)</t>
  </si>
  <si>
    <t xml:space="preserve">Crew $1,200/block-hour (LCC)</t>
  </si>
  <si>
    <t xml:space="preserve">judgement, pending citation sweep</t>
  </si>
  <si>
    <t xml:space="preserve">GOA / JFK airport charges</t>
  </si>
  <si>
    <t xml:space="preserve">INDICATIVE placeholders, not validated tariffs</t>
  </si>
  <si>
    <t xml:space="preserve">Seasonality profile (Aug/Feb demand 2.5x)</t>
  </si>
  <si>
    <t xml:space="preserve">ASSUMPTION pending monthly Sabre pull</t>
  </si>
  <si>
    <t xml:space="preserve">Market</t>
  </si>
  <si>
    <t xml:space="preserve">2026 transatlantic bookings down ~14% Europe-US (Cirium)</t>
  </si>
  <si>
    <t xml:space="preserve">demand watchpoint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</si>
</sst>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#,##0"/>
    <numFmt numFmtId="168" formatCode="0"/>
    <numFmt numFmtId="169" formatCode="\$#,##0.00"/>
    <numFmt numFmtId="170" formatCode="0.00"/>
    <numFmt numFmtId="171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2060"/>
      <name val="Arial"/>
      <family val="0"/>
      <charset val="1"/>
    </font>
    <font>
      <b val="true"/>
      <sz val="12"/>
      <color rgb="FF0020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5"/>
      <color rgb="FF00206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F7A1F"/>
      <name val="Arial"/>
      <family val="0"/>
      <charset val="1"/>
    </font>
    <font>
      <sz val="9"/>
      <color rgb="FF777777"/>
      <name val="Arial"/>
      <family val="0"/>
      <charset val="1"/>
    </font>
    <font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EAEEF6"/>
        <bgColor rgb="FFFFFFFF"/>
      </patternFill>
    </fill>
    <fill>
      <patternFill patternType="solid">
        <fgColor rgb="FFFFF2CC"/>
        <bgColor rgb="FFEAEE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EA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'Route P&amp;L'!$B$39</f>
        <v>9158339.37165089</v>
      </c>
    </row>
    <row r="6" customFormat="false" ht="15" hidden="false" customHeight="false" outlineLevel="0" collapsed="false">
      <c r="A6" s="5" t="s">
        <v>4</v>
      </c>
      <c r="B6" s="7" t="n">
        <f aca="false">'Route P&amp;L'!$B$37</f>
        <v>0.153216808621317</v>
      </c>
    </row>
    <row r="7" customFormat="false" ht="15" hidden="false" customHeight="false" outlineLevel="0" collapsed="false">
      <c r="A7" s="8" t="s">
        <v>5</v>
      </c>
      <c r="B7" s="7" t="n">
        <f aca="false">'Route P&amp;L'!$B$38</f>
        <v>0.68856140126615</v>
      </c>
    </row>
    <row r="8" customFormat="false" ht="15" hidden="false" customHeight="false" outlineLevel="0" collapsed="false">
      <c r="A8" s="8" t="s">
        <v>6</v>
      </c>
      <c r="B8" s="9" t="n">
        <f aca="false">'Route P&amp;L'!$B$4</f>
        <v>93260.5094777062</v>
      </c>
    </row>
    <row r="10" customFormat="false" ht="15" hidden="false" customHeight="false" outlineLevel="0" collapsed="false">
      <c r="A10" s="3" t="s">
        <v>7</v>
      </c>
      <c r="B10" s="4"/>
      <c r="C10" s="4"/>
    </row>
    <row r="11" customFormat="false" ht="15" hidden="false" customHeight="false" outlineLevel="0" collapsed="false">
      <c r="A11" s="8" t="s">
        <v>8</v>
      </c>
      <c r="B11" s="6" t="n">
        <f aca="false">Fleet!$B$18</f>
        <v>5127639.24261863</v>
      </c>
    </row>
    <row r="12" customFormat="false" ht="15" hidden="false" customHeight="false" outlineLevel="0" collapsed="false">
      <c r="A12" s="8" t="s">
        <v>9</v>
      </c>
      <c r="B12" s="6" t="n">
        <f aca="false">Fleet!$B$17</f>
        <v>9158339.37165089</v>
      </c>
    </row>
    <row r="13" customFormat="false" ht="15" hidden="false" customHeight="false" outlineLevel="0" collapsed="false">
      <c r="A13" s="10" t="s">
        <v>10</v>
      </c>
    </row>
    <row r="15" customFormat="false" ht="15" hidden="false" customHeight="false" outlineLevel="0" collapsed="false">
      <c r="A15" s="3" t="s">
        <v>11</v>
      </c>
      <c r="B15" s="4"/>
      <c r="C15" s="4"/>
    </row>
    <row r="16" customFormat="false" ht="15" hidden="false" customHeight="false" outlineLevel="0" collapsed="false">
      <c r="A16" s="8" t="s">
        <v>12</v>
      </c>
    </row>
    <row r="17" customFormat="false" ht="15" hidden="false" customHeight="false" outlineLevel="0" collapsed="false">
      <c r="A17" s="8" t="s">
        <v>13</v>
      </c>
    </row>
    <row r="18" customFormat="false" ht="15" hidden="false" customHeight="false" outlineLevel="0" collapsed="false">
      <c r="A18" s="8" t="s">
        <v>14</v>
      </c>
    </row>
    <row r="20" customFormat="false" ht="15" hidden="false" customHeight="false" outlineLevel="0" collapsed="false">
      <c r="A20" s="1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1" t="s">
        <v>16</v>
      </c>
    </row>
    <row r="3" customFormat="false" ht="15" hidden="false" customHeight="false" outlineLevel="0" collapsed="false">
      <c r="A3" s="3" t="s">
        <v>17</v>
      </c>
      <c r="B3" s="4"/>
      <c r="C3" s="4"/>
      <c r="D3" s="4"/>
    </row>
    <row r="4" customFormat="false" ht="15" hidden="false" customHeight="false" outlineLevel="0" collapsed="false">
      <c r="A4" s="8" t="s">
        <v>18</v>
      </c>
      <c r="B4" s="12" t="n">
        <v>0.65</v>
      </c>
    </row>
    <row r="5" customFormat="false" ht="15" hidden="false" customHeight="false" outlineLevel="0" collapsed="false">
      <c r="A5" s="8" t="s">
        <v>19</v>
      </c>
      <c r="B5" s="13" t="n">
        <v>7</v>
      </c>
    </row>
    <row r="6" customFormat="false" ht="15" hidden="false" customHeight="false" outlineLevel="0" collapsed="false">
      <c r="A6" s="8" t="s">
        <v>20</v>
      </c>
      <c r="B6" s="12" t="n">
        <v>0.85</v>
      </c>
    </row>
    <row r="7" customFormat="false" ht="15" hidden="false" customHeight="false" outlineLevel="0" collapsed="false">
      <c r="A7" s="8" t="s">
        <v>21</v>
      </c>
      <c r="B7" s="14" t="n">
        <v>345</v>
      </c>
    </row>
    <row r="8" customFormat="false" ht="15" hidden="false" customHeight="false" outlineLevel="0" collapsed="false">
      <c r="A8" s="8" t="s">
        <v>22</v>
      </c>
      <c r="B8" s="14" t="n">
        <v>1400</v>
      </c>
    </row>
    <row r="9" customFormat="false" ht="15" hidden="false" customHeight="false" outlineLevel="0" collapsed="false">
      <c r="A9" s="8" t="s">
        <v>23</v>
      </c>
      <c r="B9" s="15" t="n">
        <v>0.9</v>
      </c>
    </row>
    <row r="10" customFormat="false" ht="15" hidden="false" customHeight="false" outlineLevel="0" collapsed="false">
      <c r="A10" s="8" t="s">
        <v>24</v>
      </c>
      <c r="B10" s="12" t="n">
        <v>0.8</v>
      </c>
    </row>
    <row r="11" customFormat="false" ht="15" hidden="false" customHeight="false" outlineLevel="0" collapsed="false">
      <c r="A11" s="8" t="s">
        <v>25</v>
      </c>
      <c r="B11" s="16" t="n">
        <v>1</v>
      </c>
    </row>
    <row r="13" customFormat="false" ht="15" hidden="false" customHeight="false" outlineLevel="0" collapsed="false">
      <c r="A13" s="3" t="s">
        <v>26</v>
      </c>
      <c r="B13" s="4"/>
      <c r="C13" s="4"/>
      <c r="D13" s="4"/>
    </row>
    <row r="14" customFormat="false" ht="15" hidden="false" customHeight="false" outlineLevel="0" collapsed="false">
      <c r="A14" s="8" t="s">
        <v>27</v>
      </c>
      <c r="B14" s="17" t="n">
        <v>19536487</v>
      </c>
    </row>
    <row r="15" customFormat="false" ht="15" hidden="false" customHeight="false" outlineLevel="0" collapsed="false">
      <c r="A15" s="8" t="s">
        <v>28</v>
      </c>
      <c r="B15" s="17" t="n">
        <v>828760.74</v>
      </c>
    </row>
    <row r="16" customFormat="false" ht="15" hidden="false" customHeight="false" outlineLevel="0" collapsed="false">
      <c r="A16" s="8" t="s">
        <v>29</v>
      </c>
      <c r="B16" s="17" t="n">
        <v>138608.17842724</v>
      </c>
    </row>
    <row r="17" customFormat="false" ht="15" hidden="false" customHeight="false" outlineLevel="0" collapsed="false">
      <c r="A17" s="8" t="s">
        <v>30</v>
      </c>
      <c r="B17" s="17" t="n">
        <v>9043.41</v>
      </c>
    </row>
    <row r="19" customFormat="false" ht="15" hidden="false" customHeight="false" outlineLevel="0" collapsed="false">
      <c r="A19" s="3" t="s">
        <v>31</v>
      </c>
      <c r="B19" s="4"/>
      <c r="C19" s="4"/>
      <c r="D19" s="4"/>
    </row>
    <row r="20" customFormat="false" ht="15" hidden="false" customHeight="false" outlineLevel="0" collapsed="false">
      <c r="A20" s="8" t="s">
        <v>32</v>
      </c>
      <c r="B20" s="18" t="n">
        <v>162</v>
      </c>
    </row>
    <row r="21" customFormat="false" ht="15" hidden="false" customHeight="false" outlineLevel="0" collapsed="false">
      <c r="A21" s="8" t="s">
        <v>33</v>
      </c>
      <c r="B21" s="18" t="n">
        <v>20</v>
      </c>
    </row>
    <row r="22" customFormat="false" ht="15" hidden="false" customHeight="false" outlineLevel="0" collapsed="false">
      <c r="A22" s="8" t="s">
        <v>34</v>
      </c>
      <c r="B22" s="17" t="n">
        <v>2500</v>
      </c>
    </row>
    <row r="23" customFormat="false" ht="15" hidden="false" customHeight="false" outlineLevel="0" collapsed="false">
      <c r="A23" s="8" t="s">
        <v>35</v>
      </c>
      <c r="B23" s="18" t="n">
        <v>18</v>
      </c>
    </row>
    <row r="24" customFormat="false" ht="15" hidden="false" customHeight="false" outlineLevel="0" collapsed="false">
      <c r="A24" s="8" t="s">
        <v>36</v>
      </c>
      <c r="B24" s="17" t="n">
        <v>5425</v>
      </c>
    </row>
    <row r="25" customFormat="false" ht="15" hidden="false" customHeight="false" outlineLevel="0" collapsed="false">
      <c r="A25" s="8" t="s">
        <v>37</v>
      </c>
      <c r="B25" s="19" t="n">
        <v>423967</v>
      </c>
    </row>
    <row r="26" customFormat="false" ht="15" hidden="false" customHeight="false" outlineLevel="0" collapsed="false">
      <c r="A26" s="8" t="s">
        <v>38</v>
      </c>
      <c r="B26" s="19" t="n">
        <v>14740.3846153846</v>
      </c>
    </row>
    <row r="27" customFormat="false" ht="15" hidden="false" customHeight="false" outlineLevel="0" collapsed="false">
      <c r="A27" s="8" t="s">
        <v>39</v>
      </c>
      <c r="B27" s="19" t="n">
        <v>16880.5161290323</v>
      </c>
    </row>
    <row r="28" customFormat="false" ht="15" hidden="false" customHeight="false" outlineLevel="0" collapsed="false">
      <c r="A28" s="8" t="s">
        <v>40</v>
      </c>
      <c r="B28" s="19" t="n">
        <v>21600</v>
      </c>
    </row>
    <row r="29" customFormat="false" ht="15" hidden="false" customHeight="false" outlineLevel="0" collapsed="false">
      <c r="A29" s="8" t="s">
        <v>41</v>
      </c>
      <c r="B29" s="19" t="n">
        <v>2156.68202764977</v>
      </c>
    </row>
    <row r="30" customFormat="false" ht="15" hidden="false" customHeight="false" outlineLevel="0" collapsed="false">
      <c r="A30" s="8" t="s">
        <v>42</v>
      </c>
      <c r="B30" s="19" t="n">
        <v>4429</v>
      </c>
    </row>
    <row r="31" customFormat="false" ht="15" hidden="false" customHeight="false" outlineLevel="0" collapsed="false">
      <c r="A31" s="8" t="s">
        <v>43</v>
      </c>
      <c r="B31" s="19" t="n">
        <v>5871</v>
      </c>
    </row>
    <row r="32" customFormat="false" ht="15" hidden="false" customHeight="false" outlineLevel="0" collapsed="false">
      <c r="A32" s="8" t="s">
        <v>44</v>
      </c>
      <c r="B32" s="19" t="n">
        <v>1134.99902889246</v>
      </c>
    </row>
    <row r="33" customFormat="false" ht="15" hidden="false" customHeight="false" outlineLevel="0" collapsed="false">
      <c r="A33" s="8" t="s">
        <v>45</v>
      </c>
      <c r="B33" s="19" t="n">
        <v>7259.84</v>
      </c>
    </row>
    <row r="34" customFormat="false" ht="15" hidden="false" customHeight="false" outlineLevel="0" collapsed="false">
      <c r="A34" s="8" t="s">
        <v>46</v>
      </c>
      <c r="B34" s="20" t="n">
        <v>2.648</v>
      </c>
    </row>
    <row r="35" customFormat="false" ht="15" hidden="false" customHeight="false" outlineLevel="0" collapsed="false">
      <c r="A35" s="8" t="s">
        <v>47</v>
      </c>
      <c r="B35" s="20" t="n">
        <v>51.5</v>
      </c>
    </row>
    <row r="36" customFormat="false" ht="15" hidden="false" customHeight="false" outlineLevel="0" collapsed="false">
      <c r="A36" s="8" t="s">
        <v>48</v>
      </c>
      <c r="B36" s="20" t="n">
        <v>46.35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8.55" hidden="false" customHeight="false" outlineLevel="0" collapsed="false">
      <c r="A1" s="11" t="s">
        <v>49</v>
      </c>
    </row>
    <row r="3" customFormat="false" ht="15" hidden="false" customHeight="false" outlineLevel="0" collapsed="false">
      <c r="A3" s="3" t="s">
        <v>50</v>
      </c>
      <c r="B3" s="4"/>
      <c r="C3" s="4"/>
    </row>
    <row r="4" customFormat="false" ht="15" hidden="false" customHeight="false" outlineLevel="0" collapsed="false">
      <c r="A4" s="8" t="s">
        <v>6</v>
      </c>
      <c r="B4" s="9" t="n">
        <f aca="false">(Inputs!$B$17+(Inputs!$B$16-Inputs!$B$17)*Inputs!$B$4)*Inputs!$B$11</f>
        <v>93260.5094777062</v>
      </c>
    </row>
    <row r="5" customFormat="false" ht="15" hidden="false" customHeight="false" outlineLevel="0" collapsed="false">
      <c r="A5" s="8" t="s">
        <v>51</v>
      </c>
      <c r="B5" s="7" t="n">
        <f aca="false">MIN('Route P&amp;L'!$B$4*Inputs!$B$10/(Inputs!$B$20*Inputs!$B$5*52),Inputs!$B$6)</f>
        <v>0.85</v>
      </c>
    </row>
    <row r="6" customFormat="false" ht="15" hidden="false" customHeight="false" outlineLevel="0" collapsed="false">
      <c r="A6" s="8" t="s">
        <v>52</v>
      </c>
      <c r="B6" s="7" t="n">
        <f aca="false">MIN('Route P&amp;L'!$B$4*(1-Inputs!$B$10)/(Inputs!$B$21*Inputs!$B$5*52),Inputs!$B$6)</f>
        <v>0.85</v>
      </c>
    </row>
    <row r="7" customFormat="false" ht="15" hidden="false" customHeight="false" outlineLevel="0" collapsed="false">
      <c r="A7" s="8" t="s">
        <v>53</v>
      </c>
      <c r="B7" s="9" t="n">
        <f aca="false">2*(Inputs!$B$20*'Route P&amp;L'!$B$5+Inputs!$B$21*'Route P&amp;L'!$B$6)</f>
        <v>309.4</v>
      </c>
    </row>
    <row r="9" customFormat="false" ht="15" hidden="false" customHeight="false" outlineLevel="0" collapsed="false">
      <c r="A9" s="3" t="s">
        <v>54</v>
      </c>
      <c r="B9" s="4"/>
      <c r="C9" s="4"/>
    </row>
    <row r="10" customFormat="false" ht="15" hidden="false" customHeight="false" outlineLevel="0" collapsed="false">
      <c r="A10" s="8" t="s">
        <v>55</v>
      </c>
      <c r="B10" s="6" t="n">
        <f aca="false">2*Inputs!$B$20*'Route P&amp;L'!$B$5*Inputs!$B$7</f>
        <v>95013</v>
      </c>
    </row>
    <row r="11" customFormat="false" ht="15" hidden="false" customHeight="false" outlineLevel="0" collapsed="false">
      <c r="A11" s="8" t="s">
        <v>56</v>
      </c>
      <c r="B11" s="6" t="n">
        <f aca="false">2*Inputs!$B$21*'Route P&amp;L'!$B$6*Inputs!$B$8</f>
        <v>47600</v>
      </c>
    </row>
    <row r="12" customFormat="false" ht="15" hidden="false" customHeight="false" outlineLevel="0" collapsed="false">
      <c r="A12" s="8" t="s">
        <v>57</v>
      </c>
      <c r="B12" s="6" t="n">
        <f aca="false">Inputs!$B$33</f>
        <v>7259.84</v>
      </c>
    </row>
    <row r="13" customFormat="false" ht="15" hidden="false" customHeight="false" outlineLevel="0" collapsed="false">
      <c r="A13" s="5" t="s">
        <v>58</v>
      </c>
      <c r="B13" s="6" t="n">
        <f aca="false">'Route P&amp;L'!$B$10+'Route P&amp;L'!$B$11+'Route P&amp;L'!$B$12</f>
        <v>149872.84</v>
      </c>
    </row>
    <row r="14" customFormat="false" ht="15" hidden="false" customHeight="false" outlineLevel="0" collapsed="false">
      <c r="A14" s="8" t="s">
        <v>59</v>
      </c>
      <c r="B14" s="6" t="n">
        <f aca="false">Inputs!$B$36*'Route P&amp;L'!$B$7</f>
        <v>14340.69</v>
      </c>
    </row>
    <row r="15" customFormat="false" ht="15" hidden="false" customHeight="false" outlineLevel="0" collapsed="false">
      <c r="A15" s="5" t="s">
        <v>60</v>
      </c>
      <c r="B15" s="6" t="n">
        <f aca="false">'Route P&amp;L'!$B$13+'Route P&amp;L'!$B$14</f>
        <v>164213.53</v>
      </c>
    </row>
    <row r="17" customFormat="false" ht="15" hidden="false" customHeight="false" outlineLevel="0" collapsed="false">
      <c r="A17" s="3" t="s">
        <v>61</v>
      </c>
      <c r="B17" s="4"/>
      <c r="C17" s="4"/>
    </row>
    <row r="18" customFormat="false" ht="15" hidden="false" customHeight="false" outlineLevel="0" collapsed="false">
      <c r="A18" s="8" t="s">
        <v>62</v>
      </c>
      <c r="B18" s="6" t="n">
        <f aca="false">Inputs!$B$22*Inputs!$B$23*Inputs!$B$9</f>
        <v>40500</v>
      </c>
    </row>
    <row r="19" customFormat="false" ht="15" hidden="false" customHeight="false" outlineLevel="0" collapsed="false">
      <c r="A19" s="8" t="s">
        <v>63</v>
      </c>
      <c r="B19" s="6" t="n">
        <f aca="false">Inputs!$B$26</f>
        <v>14740.3846153846</v>
      </c>
    </row>
    <row r="20" customFormat="false" ht="15" hidden="false" customHeight="false" outlineLevel="0" collapsed="false">
      <c r="A20" s="8" t="s">
        <v>64</v>
      </c>
      <c r="B20" s="6" t="n">
        <f aca="false">Inputs!$B$34*'Route P&amp;L'!$B$7</f>
        <v>819.2912</v>
      </c>
    </row>
    <row r="21" customFormat="false" ht="15" hidden="false" customHeight="false" outlineLevel="0" collapsed="false">
      <c r="A21" s="8" t="s">
        <v>65</v>
      </c>
      <c r="B21" s="6" t="n">
        <f aca="false">Inputs!$B$30</f>
        <v>4429</v>
      </c>
    </row>
    <row r="22" customFormat="false" ht="15" hidden="false" customHeight="false" outlineLevel="0" collapsed="false">
      <c r="A22" s="8" t="s">
        <v>66</v>
      </c>
      <c r="B22" s="6" t="n">
        <f aca="false">Inputs!$B$35*'Route P&amp;L'!$B$7</f>
        <v>15934.1</v>
      </c>
    </row>
    <row r="23" customFormat="false" ht="15" hidden="false" customHeight="false" outlineLevel="0" collapsed="false">
      <c r="A23" s="8" t="s">
        <v>67</v>
      </c>
      <c r="B23" s="6" t="n">
        <f aca="false">Inputs!$B$32</f>
        <v>1134.99902889246</v>
      </c>
    </row>
    <row r="24" customFormat="false" ht="15" hidden="false" customHeight="false" outlineLevel="0" collapsed="false">
      <c r="A24" s="8" t="s">
        <v>68</v>
      </c>
      <c r="B24" s="6" t="n">
        <f aca="false">Inputs!$B$31</f>
        <v>5871</v>
      </c>
    </row>
    <row r="25" customFormat="false" ht="15" hidden="false" customHeight="false" outlineLevel="0" collapsed="false">
      <c r="A25" s="5" t="s">
        <v>69</v>
      </c>
      <c r="B25" s="6" t="n">
        <f aca="false">'Route P&amp;L'!$B$18+'Route P&amp;L'!$B$19+'Route P&amp;L'!$B$20+'Route P&amp;L'!$B$21+'Route P&amp;L'!$B$22+'Route P&amp;L'!$B$23+'Route P&amp;L'!$B$24</f>
        <v>83428.7748442771</v>
      </c>
    </row>
    <row r="26" customFormat="false" ht="15" hidden="false" customHeight="false" outlineLevel="0" collapsed="false">
      <c r="A26" s="8" t="s">
        <v>70</v>
      </c>
      <c r="B26" s="6" t="n">
        <f aca="false">Inputs!$B$27</f>
        <v>16880.5161290323</v>
      </c>
    </row>
    <row r="27" customFormat="false" ht="15" hidden="false" customHeight="false" outlineLevel="0" collapsed="false">
      <c r="A27" s="8" t="s">
        <v>71</v>
      </c>
      <c r="B27" s="6" t="n">
        <f aca="false">Inputs!$B$29</f>
        <v>2156.68202764977</v>
      </c>
    </row>
    <row r="28" customFormat="false" ht="15" hidden="false" customHeight="false" outlineLevel="0" collapsed="false">
      <c r="A28" s="8" t="s">
        <v>72</v>
      </c>
      <c r="B28" s="6" t="n">
        <f aca="false">Inputs!$B$28</f>
        <v>21600</v>
      </c>
    </row>
    <row r="29" customFormat="false" ht="15" hidden="false" customHeight="false" outlineLevel="0" collapsed="false">
      <c r="A29" s="5" t="s">
        <v>73</v>
      </c>
      <c r="B29" s="6" t="n">
        <f aca="false">'Route P&amp;L'!$B$26+'Route P&amp;L'!$B$27+'Route P&amp;L'!$B$28</f>
        <v>40637.198156682</v>
      </c>
    </row>
    <row r="30" customFormat="false" ht="15" hidden="false" customHeight="false" outlineLevel="0" collapsed="false">
      <c r="A30" s="8" t="s">
        <v>74</v>
      </c>
      <c r="B30" s="6" t="n">
        <f aca="false">0.05*'Route P&amp;L'!$B$13</f>
        <v>7493.642</v>
      </c>
    </row>
    <row r="31" customFormat="false" ht="15" hidden="false" customHeight="false" outlineLevel="0" collapsed="false">
      <c r="A31" s="8" t="s">
        <v>75</v>
      </c>
      <c r="B31" s="6" t="n">
        <f aca="false">0.05*'Route P&amp;L'!$B$13</f>
        <v>7493.642</v>
      </c>
    </row>
    <row r="32" customFormat="false" ht="15" hidden="false" customHeight="false" outlineLevel="0" collapsed="false">
      <c r="A32" s="5" t="s">
        <v>76</v>
      </c>
      <c r="B32" s="6" t="n">
        <f aca="false">'Route P&amp;L'!$B$30+'Route P&amp;L'!$B$31</f>
        <v>14987.284</v>
      </c>
    </row>
    <row r="33" customFormat="false" ht="15" hidden="false" customHeight="false" outlineLevel="0" collapsed="false">
      <c r="A33" s="5" t="s">
        <v>77</v>
      </c>
      <c r="B33" s="6" t="n">
        <f aca="false">'Route P&amp;L'!$B$25+'Route P&amp;L'!$B$29+'Route P&amp;L'!$B$32</f>
        <v>139053.257000959</v>
      </c>
    </row>
    <row r="35" customFormat="false" ht="15" hidden="false" customHeight="false" outlineLevel="0" collapsed="false">
      <c r="A35" s="3" t="s">
        <v>78</v>
      </c>
      <c r="B35" s="4"/>
      <c r="C35" s="4"/>
    </row>
    <row r="36" customFormat="false" ht="15" hidden="false" customHeight="false" outlineLevel="0" collapsed="false">
      <c r="A36" s="5" t="s">
        <v>79</v>
      </c>
      <c r="B36" s="6" t="n">
        <f aca="false">'Route P&amp;L'!$B$15-'Route P&amp;L'!$B$33</f>
        <v>25160.2729990409</v>
      </c>
    </row>
    <row r="37" customFormat="false" ht="15" hidden="false" customHeight="false" outlineLevel="0" collapsed="false">
      <c r="A37" s="5" t="s">
        <v>80</v>
      </c>
      <c r="B37" s="7" t="n">
        <f aca="false">'Route P&amp;L'!$B$36/'Route P&amp;L'!$B$15</f>
        <v>0.153216808621317</v>
      </c>
    </row>
    <row r="38" customFormat="false" ht="15" hidden="false" customHeight="false" outlineLevel="0" collapsed="false">
      <c r="A38" s="5" t="s">
        <v>5</v>
      </c>
      <c r="B38" s="7" t="n">
        <f aca="false">((Inputs!$B$20*'Route P&amp;L'!$B$5+Inputs!$B$21*'Route P&amp;L'!$B$6)/(Inputs!$B$20+Inputs!$B$21))*(('Route P&amp;L'!$B$33-('Route P&amp;L'!$B$20+'Route P&amp;L'!$B$22+'Route P&amp;L'!$B$32))/('Route P&amp;L'!$B$15-('Route P&amp;L'!$B$20+'Route P&amp;L'!$B$22+'Route P&amp;L'!$B$32)))</f>
        <v>0.68856140126615</v>
      </c>
    </row>
    <row r="39" customFormat="false" ht="15" hidden="false" customHeight="false" outlineLevel="0" collapsed="false">
      <c r="A39" s="2" t="s">
        <v>3</v>
      </c>
      <c r="B39" s="6" t="n">
        <f aca="false">'Route P&amp;L'!$B$36*Inputs!$B$5*52</f>
        <v>9158339.37165089</v>
      </c>
    </row>
    <row r="40" customFormat="false" ht="15" hidden="false" customHeight="false" outlineLevel="0" collapsed="false">
      <c r="A40" s="8" t="s">
        <v>81</v>
      </c>
      <c r="B40" s="9" t="n">
        <f aca="false">'Route P&amp;L'!$B$7*Inputs!$B$5*52</f>
        <v>112621.6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8.55" hidden="false" customHeight="false" outlineLevel="0" collapsed="false">
      <c r="A1" s="11" t="s">
        <v>82</v>
      </c>
    </row>
    <row r="3" customFormat="false" ht="15" hidden="false" customHeight="false" outlineLevel="0" collapsed="false">
      <c r="A3" s="3" t="s">
        <v>83</v>
      </c>
      <c r="B3" s="4"/>
      <c r="C3" s="4"/>
    </row>
    <row r="4" customFormat="false" ht="15" hidden="false" customHeight="false" outlineLevel="0" collapsed="false">
      <c r="A4" s="8" t="s">
        <v>84</v>
      </c>
      <c r="B4" s="9" t="n">
        <f aca="false">Inputs!$B$5*52*Inputs!$B$23</f>
        <v>6552</v>
      </c>
    </row>
    <row r="5" customFormat="false" ht="15" hidden="false" customHeight="false" outlineLevel="0" collapsed="false">
      <c r="A5" s="5" t="s">
        <v>85</v>
      </c>
      <c r="B5" s="21" t="n">
        <f aca="false">CEILING(Fleet!$B$4/Inputs!$B$24,1)</f>
        <v>2</v>
      </c>
    </row>
    <row r="6" customFormat="false" ht="15" hidden="false" customHeight="false" outlineLevel="0" collapsed="false">
      <c r="A6" s="8" t="s">
        <v>86</v>
      </c>
      <c r="B6" s="9" t="n">
        <f aca="false">Fleet!$B$4/Fleet!$B$5</f>
        <v>3276</v>
      </c>
    </row>
    <row r="7" customFormat="false" ht="15" hidden="false" customHeight="false" outlineLevel="0" collapsed="false">
      <c r="A7" s="8" t="s">
        <v>87</v>
      </c>
      <c r="B7" s="7" t="n">
        <f aca="false">Fleet!$B$6/Inputs!$B$24</f>
        <v>0.603870967741935</v>
      </c>
    </row>
    <row r="8" customFormat="false" ht="15" hidden="false" customHeight="false" outlineLevel="0" collapsed="false">
      <c r="A8" s="8" t="s">
        <v>88</v>
      </c>
      <c r="B8" s="9" t="n">
        <f aca="false">Fleet!$B$5*Inputs!$B$24-Fleet!$B$4</f>
        <v>4298</v>
      </c>
    </row>
    <row r="9" customFormat="false" ht="15" hidden="false" customHeight="false" outlineLevel="0" collapsed="false">
      <c r="A9" s="8" t="s">
        <v>89</v>
      </c>
      <c r="B9" s="9" t="n">
        <f aca="false">Fleet!$B$8/Inputs!$B$23</f>
        <v>238.777777777778</v>
      </c>
    </row>
    <row r="11" customFormat="false" ht="15" hidden="false" customHeight="false" outlineLevel="0" collapsed="false">
      <c r="A11" s="3" t="s">
        <v>90</v>
      </c>
      <c r="B11" s="4"/>
      <c r="C11" s="4"/>
    </row>
    <row r="12" customFormat="false" ht="15" hidden="false" customHeight="false" outlineLevel="0" collapsed="false">
      <c r="A12" s="8" t="s">
        <v>91</v>
      </c>
      <c r="B12" s="6" t="n">
        <f aca="false">(Inputs!$B$27/Inputs!$B$23)*Fleet!$B$4</f>
        <v>6144507.87096774</v>
      </c>
    </row>
    <row r="13" customFormat="false" ht="15" hidden="false" customHeight="false" outlineLevel="0" collapsed="false">
      <c r="A13" s="8" t="s">
        <v>92</v>
      </c>
      <c r="B13" s="6" t="n">
        <f aca="false">Fleet!$B$5*Inputs!$B$25*12</f>
        <v>10175208</v>
      </c>
    </row>
    <row r="14" customFormat="false" ht="15" hidden="false" customHeight="false" outlineLevel="0" collapsed="false">
      <c r="A14" s="5" t="s">
        <v>93</v>
      </c>
      <c r="B14" s="6" t="n">
        <f aca="false">Fleet!$B$13-Fleet!$B$12</f>
        <v>4030700.12903226</v>
      </c>
    </row>
    <row r="16" customFormat="false" ht="15" hidden="false" customHeight="false" outlineLevel="0" collapsed="false">
      <c r="A16" s="3" t="s">
        <v>94</v>
      </c>
      <c r="B16" s="4"/>
      <c r="C16" s="4"/>
    </row>
    <row r="17" customFormat="false" ht="15" hidden="false" customHeight="false" outlineLevel="0" collapsed="false">
      <c r="A17" s="5" t="s">
        <v>95</v>
      </c>
      <c r="B17" s="6" t="n">
        <f aca="false">'Route P&amp;L'!$B$39</f>
        <v>9158339.37165089</v>
      </c>
    </row>
    <row r="18" customFormat="false" ht="15" hidden="false" customHeight="false" outlineLevel="0" collapsed="false">
      <c r="A18" s="5" t="s">
        <v>8</v>
      </c>
      <c r="B18" s="6" t="n">
        <f aca="false">Fleet!$B$17-Fleet!$B$14</f>
        <v>5127639.24261863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</cols>
  <sheetData>
    <row r="1" customFormat="false" ht="18.55" hidden="false" customHeight="false" outlineLevel="0" collapsed="false">
      <c r="A1" s="11" t="s">
        <v>96</v>
      </c>
    </row>
    <row r="3" customFormat="false" ht="15" hidden="false" customHeight="false" outlineLevel="0" collapsed="false">
      <c r="A3" s="22" t="s">
        <v>97</v>
      </c>
      <c r="B3" s="22" t="s">
        <v>98</v>
      </c>
      <c r="C3" s="22" t="s">
        <v>99</v>
      </c>
      <c r="D3" s="22" t="s">
        <v>100</v>
      </c>
      <c r="E3" s="22" t="s">
        <v>101</v>
      </c>
      <c r="F3" s="22" t="s">
        <v>102</v>
      </c>
    </row>
    <row r="4" customFormat="false" ht="15" hidden="false" customHeight="false" outlineLevel="0" collapsed="false">
      <c r="A4" s="8" t="s">
        <v>103</v>
      </c>
      <c r="B4" s="8" t="n">
        <v>31</v>
      </c>
      <c r="C4" s="16" t="n">
        <v>0.527</v>
      </c>
      <c r="D4" s="9" t="n">
        <f aca="false">'Route P&amp;L'!$B$4*(B4/365)*C4</f>
        <v>4174.23820092407</v>
      </c>
      <c r="E4" s="7" t="n">
        <f aca="false">MIN(D4/((Inputs!$B$20+Inputs!$B$21)*B4),Inputs!$B$6)</f>
        <v>0.739850797753292</v>
      </c>
      <c r="F4" s="21" t="n">
        <f aca="false">MAX(MIN(B4,CEILING(D4/((Inputs!$B$20+Inputs!$B$21)*Inputs!$B$6),1)),0.5*B4)</f>
        <v>27</v>
      </c>
    </row>
    <row r="5" customFormat="false" ht="15" hidden="false" customHeight="false" outlineLevel="0" collapsed="false">
      <c r="A5" s="8" t="s">
        <v>104</v>
      </c>
      <c r="B5" s="8" t="n">
        <v>28</v>
      </c>
      <c r="C5" s="16" t="n">
        <v>0.448</v>
      </c>
      <c r="D5" s="9" t="n">
        <f aca="false">'Route P&amp;L'!$B$4*(B5/365)*C5</f>
        <v>3205.09542709136</v>
      </c>
      <c r="E5" s="7" t="n">
        <f aca="false">MIN(D5/((Inputs!$B$20+Inputs!$B$21)*B5),Inputs!$B$6)</f>
        <v>0.62894337266314</v>
      </c>
      <c r="F5" s="21" t="n">
        <f aca="false">MAX(MIN(B5,CEILING(D5/((Inputs!$B$20+Inputs!$B$21)*Inputs!$B$6),1)),0.5*B5)</f>
        <v>21</v>
      </c>
    </row>
    <row r="6" customFormat="false" ht="15" hidden="false" customHeight="false" outlineLevel="0" collapsed="false">
      <c r="A6" s="8" t="s">
        <v>105</v>
      </c>
      <c r="B6" s="8" t="n">
        <v>31</v>
      </c>
      <c r="C6" s="16" t="n">
        <v>0.701</v>
      </c>
      <c r="D6" s="9" t="n">
        <f aca="false">'Route P&amp;L'!$B$4*(B6/365)*C6</f>
        <v>5552.44967523297</v>
      </c>
      <c r="E6" s="7" t="n">
        <f aca="false">MIN(D6/((Inputs!$B$20+Inputs!$B$21)*B6),Inputs!$B$6)</f>
        <v>0.85</v>
      </c>
      <c r="F6" s="21" t="n">
        <f aca="false">MAX(MIN(B6,CEILING(D6/((Inputs!$B$20+Inputs!$B$21)*Inputs!$B$6),1)),0.5*B6)</f>
        <v>31</v>
      </c>
    </row>
    <row r="7" customFormat="false" ht="15" hidden="false" customHeight="false" outlineLevel="0" collapsed="false">
      <c r="A7" s="8" t="s">
        <v>106</v>
      </c>
      <c r="B7" s="8" t="n">
        <v>30</v>
      </c>
      <c r="C7" s="16" t="n">
        <v>1.173</v>
      </c>
      <c r="D7" s="9" t="n">
        <f aca="false">'Route P&amp;L'!$B$4*(B7/365)*C7</f>
        <v>8991.33514663145</v>
      </c>
      <c r="E7" s="7" t="n">
        <f aca="false">MIN(D7/((Inputs!$B$20+Inputs!$B$21)*B7),Inputs!$B$6)</f>
        <v>0.85</v>
      </c>
      <c r="F7" s="21" t="n">
        <f aca="false">MAX(MIN(B7,CEILING(D7/((Inputs!$B$20+Inputs!$B$21)*Inputs!$B$6),1)),0.5*B7)</f>
        <v>30</v>
      </c>
    </row>
    <row r="8" customFormat="false" ht="15" hidden="false" customHeight="false" outlineLevel="0" collapsed="false">
      <c r="A8" s="8" t="s">
        <v>107</v>
      </c>
      <c r="B8" s="8" t="n">
        <v>31</v>
      </c>
      <c r="C8" s="16" t="n">
        <v>1.128</v>
      </c>
      <c r="D8" s="9" t="n">
        <f aca="false">'Route P&amp;L'!$B$4*(B8/365)*C8</f>
        <v>8934.6123162094</v>
      </c>
      <c r="E8" s="7" t="n">
        <f aca="false">MIN(D8/((Inputs!$B$20+Inputs!$B$21)*B8),Inputs!$B$6)</f>
        <v>0.85</v>
      </c>
      <c r="F8" s="21" t="n">
        <f aca="false">MAX(MIN(B8,CEILING(D8/((Inputs!$B$20+Inputs!$B$21)*Inputs!$B$6),1)),0.5*B8)</f>
        <v>31</v>
      </c>
    </row>
    <row r="9" customFormat="false" ht="15" hidden="false" customHeight="false" outlineLevel="0" collapsed="false">
      <c r="A9" s="8" t="s">
        <v>108</v>
      </c>
      <c r="B9" s="8" t="n">
        <v>30</v>
      </c>
      <c r="C9" s="16" t="n">
        <v>1.264</v>
      </c>
      <c r="D9" s="9" t="n">
        <f aca="false">'Route P&amp;L'!$B$4*(B9/365)*C9</f>
        <v>9688.87265587567</v>
      </c>
      <c r="E9" s="7" t="n">
        <f aca="false">MIN(D9/((Inputs!$B$20+Inputs!$B$21)*B9),Inputs!$B$6)</f>
        <v>0.85</v>
      </c>
      <c r="F9" s="21" t="n">
        <f aca="false">MAX(MIN(B9,CEILING(D9/((Inputs!$B$20+Inputs!$B$21)*Inputs!$B$6),1)),0.5*B9)</f>
        <v>30</v>
      </c>
    </row>
    <row r="10" customFormat="false" ht="15" hidden="false" customHeight="false" outlineLevel="0" collapsed="false">
      <c r="A10" s="8" t="s">
        <v>109</v>
      </c>
      <c r="B10" s="8" t="n">
        <v>31</v>
      </c>
      <c r="C10" s="16" t="n">
        <v>1.381</v>
      </c>
      <c r="D10" s="9" t="n">
        <f aca="false">'Route P&amp;L'!$B$4*(B10/365)*C10</f>
        <v>10938.5634828769</v>
      </c>
      <c r="E10" s="7" t="n">
        <f aca="false">MIN(D10/((Inputs!$B$20+Inputs!$B$21)*B10),Inputs!$B$6)</f>
        <v>0.85</v>
      </c>
      <c r="F10" s="21" t="n">
        <f aca="false">MAX(MIN(B10,CEILING(D10/((Inputs!$B$20+Inputs!$B$21)*Inputs!$B$6),1)),0.5*B10)</f>
        <v>31</v>
      </c>
    </row>
    <row r="11" customFormat="false" ht="15" hidden="false" customHeight="false" outlineLevel="0" collapsed="false">
      <c r="A11" s="8" t="s">
        <v>110</v>
      </c>
      <c r="B11" s="8" t="n">
        <v>31</v>
      </c>
      <c r="C11" s="16" t="n">
        <v>1.637</v>
      </c>
      <c r="D11" s="9" t="n">
        <f aca="false">'Route P&amp;L'!$B$4*(B11/365)*C11</f>
        <v>12966.2769163429</v>
      </c>
      <c r="E11" s="7" t="n">
        <f aca="false">MIN(D11/((Inputs!$B$20+Inputs!$B$21)*B11),Inputs!$B$6)</f>
        <v>0.85</v>
      </c>
      <c r="F11" s="21" t="n">
        <f aca="false">MAX(MIN(B11,CEILING(D11/((Inputs!$B$20+Inputs!$B$21)*Inputs!$B$6),1)),0.5*B11)</f>
        <v>31</v>
      </c>
    </row>
    <row r="12" customFormat="false" ht="15" hidden="false" customHeight="false" outlineLevel="0" collapsed="false">
      <c r="A12" s="8" t="s">
        <v>111</v>
      </c>
      <c r="B12" s="8" t="n">
        <v>30</v>
      </c>
      <c r="C12" s="16" t="n">
        <v>1.26</v>
      </c>
      <c r="D12" s="9" t="n">
        <f aca="false">'Route P&amp;L'!$B$4*(B12/365)*C12</f>
        <v>9658.21166645834</v>
      </c>
      <c r="E12" s="7" t="n">
        <f aca="false">MIN(D12/((Inputs!$B$20+Inputs!$B$21)*B12),Inputs!$B$6)</f>
        <v>0.85</v>
      </c>
      <c r="F12" s="21" t="n">
        <f aca="false">MAX(MIN(B12,CEILING(D12/((Inputs!$B$20+Inputs!$B$21)*Inputs!$B$6),1)),0.5*B12)</f>
        <v>30</v>
      </c>
    </row>
    <row r="13" customFormat="false" ht="15" hidden="false" customHeight="false" outlineLevel="0" collapsed="false">
      <c r="A13" s="8" t="s">
        <v>112</v>
      </c>
      <c r="B13" s="8" t="n">
        <v>31</v>
      </c>
      <c r="C13" s="16" t="n">
        <v>1.047</v>
      </c>
      <c r="D13" s="9" t="n">
        <f aca="false">'Route P&amp;L'!$B$4*(B13/365)*C13</f>
        <v>8293.03111265181</v>
      </c>
      <c r="E13" s="7" t="n">
        <f aca="false">MIN(D13/((Inputs!$B$20+Inputs!$B$21)*B13),Inputs!$B$6)</f>
        <v>0.85</v>
      </c>
      <c r="F13" s="21" t="n">
        <f aca="false">MAX(MIN(B13,CEILING(D13/((Inputs!$B$20+Inputs!$B$21)*Inputs!$B$6),1)),0.5*B13)</f>
        <v>31</v>
      </c>
    </row>
    <row r="14" customFormat="false" ht="15" hidden="false" customHeight="false" outlineLevel="0" collapsed="false">
      <c r="A14" s="8" t="s">
        <v>113</v>
      </c>
      <c r="B14" s="8" t="n">
        <v>30</v>
      </c>
      <c r="C14" s="16" t="n">
        <v>0.689</v>
      </c>
      <c r="D14" s="9" t="n">
        <f aca="false">'Route P&amp;L'!$B$4*(B14/365)*C14</f>
        <v>5281.35542713476</v>
      </c>
      <c r="E14" s="7" t="n">
        <f aca="false">MIN(D14/((Inputs!$B$20+Inputs!$B$21)*B14),Inputs!$B$6)</f>
        <v>0.85</v>
      </c>
      <c r="F14" s="21" t="n">
        <f aca="false">MAX(MIN(B14,CEILING(D14/((Inputs!$B$20+Inputs!$B$21)*Inputs!$B$6),1)),0.5*B14)</f>
        <v>30</v>
      </c>
    </row>
    <row r="15" customFormat="false" ht="15" hidden="false" customHeight="false" outlineLevel="0" collapsed="false">
      <c r="A15" s="8" t="s">
        <v>114</v>
      </c>
      <c r="B15" s="8" t="n">
        <v>31</v>
      </c>
      <c r="C15" s="16" t="n">
        <v>0.747</v>
      </c>
      <c r="D15" s="9" t="n">
        <f aca="false">'Route P&amp;L'!$B$4*(B15/365)*C15</f>
        <v>5916.80443280888</v>
      </c>
      <c r="E15" s="7" t="n">
        <f aca="false">MIN(D15/((Inputs!$B$20+Inputs!$B$21)*B15),Inputs!$B$6)</f>
        <v>0.85</v>
      </c>
      <c r="F15" s="21" t="n">
        <f aca="false">MAX(MIN(B15,CEILING(D15/((Inputs!$B$20+Inputs!$B$21)*Inputs!$B$6),1)),0.5*B15)</f>
        <v>31</v>
      </c>
    </row>
    <row r="17" customFormat="false" ht="15" hidden="false" customHeight="false" outlineLevel="0" collapsed="false">
      <c r="A17" s="5" t="s">
        <v>115</v>
      </c>
    </row>
    <row r="18" customFormat="false" ht="15" hidden="false" customHeight="false" outlineLevel="0" collapsed="false">
      <c r="A18" s="8" t="s">
        <v>116</v>
      </c>
      <c r="B18" s="6" t="n">
        <v>9183500</v>
      </c>
    </row>
    <row r="19" customFormat="false" ht="15" hidden="false" customHeight="false" outlineLevel="0" collapsed="false">
      <c r="A19" s="8" t="s">
        <v>117</v>
      </c>
      <c r="B19" s="6" t="n">
        <v>7759505</v>
      </c>
    </row>
    <row r="20" customFormat="false" ht="15" hidden="false" customHeight="false" outlineLevel="0" collapsed="false">
      <c r="A20" s="8" t="s">
        <v>118</v>
      </c>
      <c r="B20" s="6" t="n">
        <v>8868071</v>
      </c>
    </row>
    <row r="22" customFormat="false" ht="15" hidden="false" customHeight="false" outlineLevel="0" collapsed="false">
      <c r="A22" s="1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</cols>
  <sheetData>
    <row r="1" customFormat="false" ht="18.55" hidden="false" customHeight="false" outlineLevel="0" collapsed="false">
      <c r="A1" s="11" t="s">
        <v>120</v>
      </c>
    </row>
    <row r="3" customFormat="false" ht="15" hidden="false" customHeight="false" outlineLevel="0" collapsed="false">
      <c r="A3" s="8" t="s">
        <v>121</v>
      </c>
    </row>
    <row r="4" customFormat="false" ht="15" hidden="false" customHeight="false" outlineLevel="0" collapsed="false">
      <c r="A4" s="5" t="s">
        <v>122</v>
      </c>
      <c r="B4" s="23" t="n">
        <v>0.5</v>
      </c>
      <c r="C4" s="23" t="n">
        <v>0.58</v>
      </c>
      <c r="D4" s="23" t="n">
        <v>0.65</v>
      </c>
      <c r="E4" s="23" t="n">
        <v>0.75</v>
      </c>
    </row>
    <row r="5" customFormat="false" ht="15" hidden="false" customHeight="false" outlineLevel="0" collapsed="false">
      <c r="A5" s="24" t="n">
        <v>0.68</v>
      </c>
      <c r="B5" s="25" t="n">
        <v>12.8</v>
      </c>
      <c r="C5" s="25" t="n">
        <v>12.8</v>
      </c>
      <c r="D5" s="25" t="n">
        <v>12.8</v>
      </c>
      <c r="E5" s="25" t="n">
        <v>12.8</v>
      </c>
    </row>
    <row r="6" customFormat="false" ht="15" hidden="false" customHeight="false" outlineLevel="0" collapsed="false">
      <c r="A6" s="24" t="n">
        <v>0.8</v>
      </c>
      <c r="B6" s="25" t="n">
        <v>10.8</v>
      </c>
      <c r="C6" s="25" t="n">
        <v>10.8</v>
      </c>
      <c r="D6" s="25" t="n">
        <v>10.8</v>
      </c>
      <c r="E6" s="25" t="n">
        <v>10.8</v>
      </c>
    </row>
    <row r="7" customFormat="false" ht="15" hidden="false" customHeight="false" outlineLevel="0" collapsed="false">
      <c r="A7" s="24" t="n">
        <v>0.9</v>
      </c>
      <c r="B7" s="25" t="n">
        <v>9.2</v>
      </c>
      <c r="C7" s="25" t="n">
        <v>9.2</v>
      </c>
      <c r="D7" s="26" t="n">
        <v>9.2</v>
      </c>
      <c r="E7" s="25" t="n">
        <v>9.2</v>
      </c>
    </row>
    <row r="8" customFormat="false" ht="15" hidden="false" customHeight="false" outlineLevel="0" collapsed="false">
      <c r="A8" s="24" t="n">
        <v>1</v>
      </c>
      <c r="B8" s="25" t="n">
        <v>7.5</v>
      </c>
      <c r="C8" s="25" t="n">
        <v>7.5</v>
      </c>
      <c r="D8" s="25" t="n">
        <v>7.5</v>
      </c>
      <c r="E8" s="25" t="n">
        <v>7.5</v>
      </c>
    </row>
    <row r="9" customFormat="false" ht="15" hidden="false" customHeight="false" outlineLevel="0" collapsed="false">
      <c r="A9" s="24" t="n">
        <v>1.1</v>
      </c>
      <c r="B9" s="25" t="n">
        <v>5.9</v>
      </c>
      <c r="C9" s="25" t="n">
        <v>5.9</v>
      </c>
      <c r="D9" s="25" t="n">
        <v>5.9</v>
      </c>
      <c r="E9" s="25" t="n">
        <v>5.9</v>
      </c>
    </row>
    <row r="12" customFormat="false" ht="15" hidden="false" customHeight="false" outlineLevel="0" collapsed="false">
      <c r="A12" s="5" t="s">
        <v>123</v>
      </c>
    </row>
    <row r="13" customFormat="false" ht="15" hidden="false" customHeight="false" outlineLevel="0" collapsed="false">
      <c r="A13" s="22" t="s">
        <v>124</v>
      </c>
      <c r="B13" s="22" t="s">
        <v>125</v>
      </c>
    </row>
    <row r="14" customFormat="false" ht="15" hidden="false" customHeight="false" outlineLevel="0" collapsed="false">
      <c r="A14" s="27" t="n">
        <v>1</v>
      </c>
      <c r="B14" s="25" t="n">
        <v>9.2</v>
      </c>
    </row>
    <row r="15" customFormat="false" ht="15" hidden="false" customHeight="false" outlineLevel="0" collapsed="false">
      <c r="A15" s="27" t="n">
        <v>0.93</v>
      </c>
      <c r="B15" s="25" t="n">
        <v>9.2</v>
      </c>
    </row>
    <row r="16" customFormat="false" ht="15" hidden="false" customHeight="false" outlineLevel="0" collapsed="false">
      <c r="A16" s="27" t="n">
        <v>0.86</v>
      </c>
      <c r="B16" s="25" t="n">
        <v>9.2</v>
      </c>
    </row>
    <row r="17" customFormat="false" ht="15" hidden="false" customHeight="false" outlineLevel="0" collapsed="false">
      <c r="A17" s="27" t="n">
        <v>0.8</v>
      </c>
      <c r="B17" s="25" t="n">
        <v>9.2</v>
      </c>
    </row>
    <row r="19" customFormat="false" ht="15" hidden="false" customHeight="false" outlineLevel="0" collapsed="false">
      <c r="A19" s="1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32"/>
  </cols>
  <sheetData>
    <row r="1" customFormat="false" ht="18.55" hidden="false" customHeight="false" outlineLevel="0" collapsed="false">
      <c r="A1" s="11" t="s">
        <v>127</v>
      </c>
    </row>
    <row r="3" customFormat="false" ht="15" hidden="false" customHeight="false" outlineLevel="0" collapsed="false">
      <c r="A3" s="2" t="s">
        <v>128</v>
      </c>
    </row>
    <row r="4" customFormat="false" ht="15" hidden="false" customHeight="false" outlineLevel="0" collapsed="false">
      <c r="A4" s="8" t="s">
        <v>129</v>
      </c>
      <c r="B4" s="28" t="s">
        <v>130</v>
      </c>
    </row>
    <row r="5" customFormat="false" ht="15" hidden="false" customHeight="false" outlineLevel="0" collapsed="false">
      <c r="A5" s="8" t="s">
        <v>131</v>
      </c>
      <c r="B5" s="28" t="s">
        <v>132</v>
      </c>
    </row>
    <row r="6" customFormat="false" ht="15" hidden="false" customHeight="false" outlineLevel="0" collapsed="false">
      <c r="A6" s="8" t="s">
        <v>133</v>
      </c>
      <c r="B6" s="29" t="s">
        <v>134</v>
      </c>
    </row>
    <row r="7" customFormat="false" ht="15" hidden="false" customHeight="false" outlineLevel="0" collapsed="false">
      <c r="A7" s="2" t="s">
        <v>135</v>
      </c>
    </row>
    <row r="8" customFormat="false" ht="15" hidden="false" customHeight="false" outlineLevel="0" collapsed="false">
      <c r="A8" s="8" t="s">
        <v>136</v>
      </c>
      <c r="B8" s="29" t="s">
        <v>137</v>
      </c>
    </row>
    <row r="9" customFormat="false" ht="15" hidden="false" customHeight="false" outlineLevel="0" collapsed="false">
      <c r="A9" s="8" t="s">
        <v>138</v>
      </c>
      <c r="B9" s="29" t="s">
        <v>139</v>
      </c>
    </row>
    <row r="10" customFormat="false" ht="15" hidden="false" customHeight="false" outlineLevel="0" collapsed="false">
      <c r="A10" s="8" t="s">
        <v>140</v>
      </c>
      <c r="B10" s="28" t="s">
        <v>130</v>
      </c>
    </row>
    <row r="11" customFormat="false" ht="15" hidden="false" customHeight="false" outlineLevel="0" collapsed="false">
      <c r="A11" s="8" t="s">
        <v>141</v>
      </c>
      <c r="B11" s="29" t="s">
        <v>137</v>
      </c>
    </row>
    <row r="12" customFormat="false" ht="15" hidden="false" customHeight="false" outlineLevel="0" collapsed="false">
      <c r="A12" s="8" t="s">
        <v>142</v>
      </c>
      <c r="B12" s="29" t="s">
        <v>143</v>
      </c>
    </row>
    <row r="13" customFormat="false" ht="15" hidden="false" customHeight="false" outlineLevel="0" collapsed="false">
      <c r="A13" s="8" t="s">
        <v>144</v>
      </c>
      <c r="B13" s="30" t="s">
        <v>145</v>
      </c>
    </row>
    <row r="14" customFormat="false" ht="15" hidden="false" customHeight="false" outlineLevel="0" collapsed="false">
      <c r="A14" s="8" t="s">
        <v>146</v>
      </c>
      <c r="B14" s="30" t="s">
        <v>147</v>
      </c>
    </row>
    <row r="15" customFormat="false" ht="15" hidden="false" customHeight="false" outlineLevel="0" collapsed="false">
      <c r="A15" s="2" t="s">
        <v>148</v>
      </c>
    </row>
    <row r="16" customFormat="false" ht="15" hidden="false" customHeight="false" outlineLevel="0" collapsed="false">
      <c r="A16" s="8" t="s">
        <v>149</v>
      </c>
      <c r="B16" s="3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2026-06-28T06:30:00Z</dcterms:created>
  <dc:creator>Avia Solutions</dc:creator>
  <dc:description/>
  <dc:language>en-US</dc:language>
  <cp:lastModifiedBy>Avia Solutions</cp:lastModifiedBy>
  <dcterms:modified xsi:type="dcterms:W3CDTF">2026-06-28T06:30:00Z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