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wnership by airline type" sheetId="1" state="visible" r:id="rId3"/>
    <sheet name="Age sensitivity (FSC)" sheetId="2" state="visible" r:id="rId4"/>
    <sheet name="Method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<sst xmlns="http://schemas.openxmlformats.org/spreadsheetml/2006/main" count="53" uniqueCount="41">
  <si>
    <t xml:space="preserve">Ownership leg: value/lease cost of capital, blended owned+leased, by airline type</t>
  </si>
  <si>
    <t xml:space="preserve">Ownership $/block-hour = [0.5 x market lease + 0.5 x (lease / 1.20 lessor load)] x 12 / utilisation(airline type, age). Lease rates: Airbus Appraiser Forum Dec 2025, Boeing Financing Outlook Mar 2025 (representative chart reads). New aircraft (age 0).</t>
  </si>
  <si>
    <t xml:space="preserve">Type</t>
  </si>
  <si>
    <t xml:space="preserve">Current anchor $/BH</t>
  </si>
  <si>
    <t xml:space="preserve">ULCC</t>
  </si>
  <si>
    <t xml:space="preserve">LCC</t>
  </si>
  <si>
    <t xml:space="preserve">FSC</t>
  </si>
  <si>
    <t xml:space="preserve">Regional</t>
  </si>
  <si>
    <t xml:space="preserve">Charter</t>
  </si>
  <si>
    <t xml:space="preserve">FSC vs current</t>
  </si>
  <si>
    <t xml:space="preserve">A319</t>
  </si>
  <si>
    <t xml:space="preserve">A320</t>
  </si>
  <si>
    <t xml:space="preserve">A20N</t>
  </si>
  <si>
    <t xml:space="preserve">A321</t>
  </si>
  <si>
    <t xml:space="preserve">A21N</t>
  </si>
  <si>
    <t xml:space="preserve">A21X</t>
  </si>
  <si>
    <t xml:space="preserve">A333</t>
  </si>
  <si>
    <t xml:space="preserve">A339</t>
  </si>
  <si>
    <t xml:space="preserve">A359</t>
  </si>
  <si>
    <t xml:space="preserve">B789</t>
  </si>
  <si>
    <t xml:space="preserve">B38M</t>
  </si>
  <si>
    <t xml:space="preserve">ULCC = European ultra-low-cost (Ryanair/Wizz): new fleet, very high utilisation, disposed before heavy maintenance. Ownership falls as utilisation rises and as the aircraft ages (cheaper lease/value). E190 and uncovered types keep their validated hand-set anchor.</t>
  </si>
  <si>
    <t xml:space="preserve">Ownership $/BH by aircraft age (FSC utilisation)</t>
  </si>
  <si>
    <t xml:space="preserve">0 yr</t>
  </si>
  <si>
    <t xml:space="preserve">5 yr</t>
  </si>
  <si>
    <t xml:space="preserve">8 yr</t>
  </si>
  <si>
    <t xml:space="preserve">10 yr</t>
  </si>
  <si>
    <t xml:space="preserve">15 yr</t>
  </si>
  <si>
    <t xml:space="preserve">20 yr</t>
  </si>
  <si>
    <t xml:space="preserve">Method, sources and parameters</t>
  </si>
  <si>
    <t xml:space="preserve">Basis</t>
  </si>
  <si>
    <t xml:space="preserve">Ownership = the user cost of capital of the aircraft, applicable to owned AND leased. A market lease decomposes (DVB/Ascend LRF) into economic depreciation ~50% + cost of debt ~25% + SG&amp;A ~6% + lessor margin ~17%. So the OWNER cost = market lease stripped of the lessor load (SG&amp;A+margin, ~20%); the LEASED cost = the full market lease. A fleet blends the two: ~half the global fleet is leased.</t>
  </si>
  <si>
    <t xml:space="preserve">Formula: ownership $/BH = [lease_share x lease + (1-lease_share) x lease/(1+lessor_load)] x 12 / util(airline type, age). lease_share 0.50, lessor_load 0.20 - both tunable.</t>
  </si>
  <si>
    <t xml:space="preserve">Sources</t>
  </si>
  <si>
    <t xml:space="preserve">Airbus Appraiser &amp; Investor Forum, December 2025 - Values &amp; Lease Rate Trends (5-appraiser average; full-life new + half-life 10-year). Boeing Aircraft Financing Outlook, March 2025. Lease points read from appraiser charts (representative, not to-the-dollar). ceo/older-gen and A321XLR are flagged proxies. DVB/Ascend lease-rate-factor method, July 2018 (in-house).</t>
  </si>
  <si>
    <t xml:space="preserve">Utilisation by airline type (annual block hours; the dominant swing on ownership $/BH)</t>
  </si>
  <si>
    <t xml:space="preserve">ULCC NB 3,900 / WB 4,500 (Ryanair, Wizz); LCC 3,500 / 4,400; FSC 3,000 / 4,800; Regional 2,200 / 3,500; Charter 3,200 / 4,200. Cirium gives the segment baselines (~3,400 NB / ~4,950 WB average). The analyst picks the airline type per route. Utilisation is also used for the insurance line, for consistency.</t>
  </si>
  <si>
    <t xml:space="preserve">Age</t>
  </si>
  <si>
    <t xml:space="preserve">Lease/value retention by age: new 1.0, 5yr 0.80, 10yr 0.55, 15yr 0.42, 20yr 0.32, 25yr 0.24 (lease roughly halves over 10-12 years; anchored on the Airbus new-vs-10yr deck values). Analyst sets aircraft age; default new.</t>
  </si>
  <si>
    <t xml:space="preserve">Validation</t>
  </si>
  <si>
    <t xml:space="preserve">E190 (Embraer, no appraiser data here) keeps its Maverick-validated ownership and utilisation, so the BA LCY-EDI regression is unchanged. Covered Airbus/Boeing types switch to the blended basis. Boeing 767/757/777 not re-anchored (no clean current lease point read).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</si>
</sst>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+0%;\-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700</v>
      </c>
      <c r="C5" s="5" t="n">
        <v>536</v>
      </c>
      <c r="D5" s="5" t="n">
        <v>597</v>
      </c>
      <c r="E5" s="5" t="n">
        <v>697</v>
      </c>
      <c r="F5" s="5" t="n">
        <v>950</v>
      </c>
      <c r="G5" s="5" t="n">
        <v>653</v>
      </c>
      <c r="H5" s="6" t="n">
        <f aca="false">E5/B5-1</f>
        <v>-0.00428571428571434</v>
      </c>
    </row>
    <row r="6" customFormat="false" ht="15" hidden="false" customHeight="false" outlineLevel="0" collapsed="false">
      <c r="A6" s="4" t="s">
        <v>11</v>
      </c>
      <c r="B6" s="5" t="n">
        <v>900</v>
      </c>
      <c r="C6" s="5" t="n">
        <v>705</v>
      </c>
      <c r="D6" s="5" t="n">
        <v>786</v>
      </c>
      <c r="E6" s="5" t="n">
        <v>917</v>
      </c>
      <c r="F6" s="5" t="n">
        <v>1250</v>
      </c>
      <c r="G6" s="5" t="n">
        <v>859</v>
      </c>
      <c r="H6" s="6" t="n">
        <f aca="false">E6/B6-1</f>
        <v>0.018888888888889</v>
      </c>
    </row>
    <row r="7" customFormat="false" ht="15" hidden="false" customHeight="false" outlineLevel="0" collapsed="false">
      <c r="A7" s="4" t="s">
        <v>12</v>
      </c>
      <c r="B7" s="5" t="n">
        <v>1200</v>
      </c>
      <c r="C7" s="5" t="n">
        <v>1128</v>
      </c>
      <c r="D7" s="5" t="n">
        <v>1257</v>
      </c>
      <c r="E7" s="5" t="n">
        <v>1467</v>
      </c>
      <c r="F7" s="5" t="n">
        <v>2000</v>
      </c>
      <c r="G7" s="5" t="n">
        <v>1375</v>
      </c>
      <c r="H7" s="6" t="n">
        <f aca="false">E7/B7-1</f>
        <v>0.2225</v>
      </c>
    </row>
    <row r="8" customFormat="false" ht="15" hidden="false" customHeight="false" outlineLevel="0" collapsed="false">
      <c r="A8" s="4" t="s">
        <v>13</v>
      </c>
      <c r="B8" s="5" t="n">
        <v>950</v>
      </c>
      <c r="C8" s="5" t="n">
        <v>818</v>
      </c>
      <c r="D8" s="5" t="n">
        <v>911</v>
      </c>
      <c r="E8" s="5" t="n">
        <v>1063</v>
      </c>
      <c r="F8" s="5" t="n">
        <v>1450</v>
      </c>
      <c r="G8" s="5" t="n">
        <v>997</v>
      </c>
      <c r="H8" s="6" t="n">
        <f aca="false">E8/B8-1</f>
        <v>0.118947368421053</v>
      </c>
    </row>
    <row r="9" customFormat="false" ht="15" hidden="false" customHeight="false" outlineLevel="0" collapsed="false">
      <c r="A9" s="4" t="s">
        <v>14</v>
      </c>
      <c r="B9" s="5" t="n">
        <v>1300</v>
      </c>
      <c r="C9" s="5" t="n">
        <v>1297</v>
      </c>
      <c r="D9" s="5" t="n">
        <v>1446</v>
      </c>
      <c r="E9" s="5" t="n">
        <v>1687</v>
      </c>
      <c r="F9" s="5" t="n">
        <v>2300</v>
      </c>
      <c r="G9" s="5" t="n">
        <v>1581</v>
      </c>
      <c r="H9" s="6" t="n">
        <f aca="false">E9/B9-1</f>
        <v>0.297692307692308</v>
      </c>
    </row>
    <row r="10" customFormat="false" ht="15" hidden="false" customHeight="false" outlineLevel="0" collapsed="false">
      <c r="A10" s="4" t="s">
        <v>15</v>
      </c>
      <c r="B10" s="5" t="n">
        <v>1500</v>
      </c>
      <c r="C10" s="5" t="n">
        <v>1410</v>
      </c>
      <c r="D10" s="5" t="n">
        <v>1571</v>
      </c>
      <c r="E10" s="5" t="n">
        <v>1833</v>
      </c>
      <c r="F10" s="5" t="n">
        <v>2500</v>
      </c>
      <c r="G10" s="5" t="n">
        <v>1719</v>
      </c>
      <c r="H10" s="6" t="n">
        <f aca="false">E10/B10-1</f>
        <v>0.222</v>
      </c>
    </row>
    <row r="11" customFormat="false" ht="15" hidden="false" customHeight="false" outlineLevel="0" collapsed="false">
      <c r="A11" s="7" t="s">
        <v>16</v>
      </c>
      <c r="B11" s="8" t="n">
        <v>1800</v>
      </c>
      <c r="C11" s="8" t="n">
        <v>1076</v>
      </c>
      <c r="D11" s="8" t="n">
        <v>1100</v>
      </c>
      <c r="E11" s="8" t="n">
        <v>1008</v>
      </c>
      <c r="F11" s="8" t="n">
        <v>1383</v>
      </c>
      <c r="G11" s="8" t="n">
        <v>1152</v>
      </c>
      <c r="H11" s="9" t="n">
        <f aca="false">E11/B11-1</f>
        <v>-0.44</v>
      </c>
    </row>
    <row r="12" customFormat="false" ht="15" hidden="false" customHeight="false" outlineLevel="0" collapsed="false">
      <c r="A12" s="7" t="s">
        <v>17</v>
      </c>
      <c r="B12" s="8" t="n">
        <v>2600</v>
      </c>
      <c r="C12" s="8" t="n">
        <v>2200</v>
      </c>
      <c r="D12" s="8" t="n">
        <v>2250</v>
      </c>
      <c r="E12" s="8" t="n">
        <v>2062</v>
      </c>
      <c r="F12" s="8" t="n">
        <v>2829</v>
      </c>
      <c r="G12" s="8" t="n">
        <v>2357</v>
      </c>
      <c r="H12" s="9" t="n">
        <f aca="false">E12/B12-1</f>
        <v>-0.206923076923077</v>
      </c>
    </row>
    <row r="13" customFormat="false" ht="15" hidden="false" customHeight="false" outlineLevel="0" collapsed="false">
      <c r="A13" s="7" t="s">
        <v>18</v>
      </c>
      <c r="B13" s="8" t="n">
        <v>2700</v>
      </c>
      <c r="C13" s="8" t="n">
        <v>2811</v>
      </c>
      <c r="D13" s="8" t="n">
        <v>2875</v>
      </c>
      <c r="E13" s="8" t="n">
        <v>2635</v>
      </c>
      <c r="F13" s="8" t="n">
        <v>3614</v>
      </c>
      <c r="G13" s="8" t="n">
        <v>3012</v>
      </c>
      <c r="H13" s="9" t="n">
        <f aca="false">E13/B13-1</f>
        <v>-0.024074074074074</v>
      </c>
    </row>
    <row r="14" customFormat="false" ht="15" hidden="false" customHeight="false" outlineLevel="0" collapsed="false">
      <c r="A14" s="7" t="s">
        <v>19</v>
      </c>
      <c r="B14" s="8" t="n">
        <v>2500</v>
      </c>
      <c r="C14" s="8" t="n">
        <v>2567</v>
      </c>
      <c r="D14" s="8" t="n">
        <v>2625</v>
      </c>
      <c r="E14" s="8" t="n">
        <v>2406</v>
      </c>
      <c r="F14" s="8" t="n">
        <v>3300</v>
      </c>
      <c r="G14" s="8" t="n">
        <v>2750</v>
      </c>
      <c r="H14" s="9" t="n">
        <f aca="false">E14/B14-1</f>
        <v>-0.0376</v>
      </c>
    </row>
    <row r="15" customFormat="false" ht="15" hidden="false" customHeight="false" outlineLevel="0" collapsed="false">
      <c r="A15" s="4" t="s">
        <v>20</v>
      </c>
      <c r="B15" s="5" t="n">
        <v>1300</v>
      </c>
      <c r="C15" s="5" t="n">
        <v>1072</v>
      </c>
      <c r="D15" s="5" t="n">
        <v>1194</v>
      </c>
      <c r="E15" s="5" t="n">
        <v>1393</v>
      </c>
      <c r="F15" s="5" t="n">
        <v>1900</v>
      </c>
      <c r="G15" s="5" t="n">
        <v>1306</v>
      </c>
      <c r="H15" s="6" t="n">
        <f aca="false">E15/B15-1</f>
        <v>0.0715384615384616</v>
      </c>
    </row>
    <row r="17" customFormat="false" ht="42" hidden="false" customHeight="true" outlineLevel="0" collapsed="false">
      <c r="A17" s="2" t="s">
        <v>21</v>
      </c>
      <c r="B17" s="2"/>
      <c r="C17" s="2"/>
      <c r="D17" s="2"/>
      <c r="E17" s="2"/>
      <c r="F17" s="2"/>
      <c r="G17" s="2"/>
      <c r="H17" s="2"/>
    </row>
  </sheetData>
  <mergeCells count="2">
    <mergeCell ref="A2:H2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0"/>
  </cols>
  <sheetData>
    <row r="1" customFormat="false" ht="15" hidden="false" customHeight="false" outlineLevel="0" collapsed="false">
      <c r="A1" s="10" t="s">
        <v>22</v>
      </c>
    </row>
    <row r="3" customFormat="false" ht="15" hidden="false" customHeight="false" outlineLevel="0" collapsed="false">
      <c r="A3" s="11" t="s">
        <v>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</row>
    <row r="4" customFormat="false" ht="15" hidden="false" customHeight="false" outlineLevel="0" collapsed="false">
      <c r="A4" s="13" t="s">
        <v>10</v>
      </c>
      <c r="B4" s="14" t="n">
        <v>697</v>
      </c>
      <c r="C4" s="14" t="n">
        <v>557</v>
      </c>
      <c r="D4" s="14" t="n">
        <v>453</v>
      </c>
      <c r="E4" s="14" t="n">
        <v>383</v>
      </c>
      <c r="F4" s="14" t="n">
        <v>293</v>
      </c>
      <c r="G4" s="14" t="n">
        <v>223</v>
      </c>
    </row>
    <row r="5" customFormat="false" ht="15" hidden="false" customHeight="false" outlineLevel="0" collapsed="false">
      <c r="A5" s="13" t="s">
        <v>11</v>
      </c>
      <c r="B5" s="14" t="n">
        <v>917</v>
      </c>
      <c r="C5" s="14" t="n">
        <v>733</v>
      </c>
      <c r="D5" s="14" t="n">
        <v>596</v>
      </c>
      <c r="E5" s="14" t="n">
        <v>504</v>
      </c>
      <c r="F5" s="14" t="n">
        <v>385</v>
      </c>
      <c r="G5" s="14" t="n">
        <v>293</v>
      </c>
    </row>
    <row r="6" customFormat="false" ht="15" hidden="false" customHeight="false" outlineLevel="0" collapsed="false">
      <c r="A6" s="13" t="s">
        <v>12</v>
      </c>
      <c r="B6" s="14" t="n">
        <v>1467</v>
      </c>
      <c r="C6" s="14" t="n">
        <v>1173</v>
      </c>
      <c r="D6" s="14" t="n">
        <v>953</v>
      </c>
      <c r="E6" s="14" t="n">
        <v>807</v>
      </c>
      <c r="F6" s="14" t="n">
        <v>616</v>
      </c>
      <c r="G6" s="14" t="n">
        <v>469</v>
      </c>
    </row>
    <row r="7" customFormat="false" ht="15" hidden="false" customHeight="false" outlineLevel="0" collapsed="false">
      <c r="A7" s="13" t="s">
        <v>13</v>
      </c>
      <c r="B7" s="14" t="n">
        <v>1063</v>
      </c>
      <c r="C7" s="14" t="n">
        <v>851</v>
      </c>
      <c r="D7" s="14" t="n">
        <v>691</v>
      </c>
      <c r="E7" s="14" t="n">
        <v>585</v>
      </c>
      <c r="F7" s="14" t="n">
        <v>447</v>
      </c>
      <c r="G7" s="14" t="n">
        <v>340</v>
      </c>
    </row>
    <row r="8" customFormat="false" ht="15" hidden="false" customHeight="false" outlineLevel="0" collapsed="false">
      <c r="A8" s="13" t="s">
        <v>14</v>
      </c>
      <c r="B8" s="14" t="n">
        <v>1687</v>
      </c>
      <c r="C8" s="14" t="n">
        <v>1349</v>
      </c>
      <c r="D8" s="14" t="n">
        <v>1096</v>
      </c>
      <c r="E8" s="14" t="n">
        <v>928</v>
      </c>
      <c r="F8" s="14" t="n">
        <v>708</v>
      </c>
      <c r="G8" s="14" t="n">
        <v>540</v>
      </c>
    </row>
    <row r="9" customFormat="false" ht="15" hidden="false" customHeight="false" outlineLevel="0" collapsed="false">
      <c r="A9" s="13" t="s">
        <v>15</v>
      </c>
      <c r="B9" s="14" t="n">
        <v>1833</v>
      </c>
      <c r="C9" s="14" t="n">
        <v>1467</v>
      </c>
      <c r="D9" s="14" t="n">
        <v>1192</v>
      </c>
      <c r="E9" s="14" t="n">
        <v>1008</v>
      </c>
      <c r="F9" s="14" t="n">
        <v>770</v>
      </c>
      <c r="G9" s="14" t="n">
        <v>587</v>
      </c>
    </row>
    <row r="10" customFormat="false" ht="15" hidden="false" customHeight="false" outlineLevel="0" collapsed="false">
      <c r="A10" s="13" t="s">
        <v>16</v>
      </c>
      <c r="B10" s="14" t="n">
        <v>1008</v>
      </c>
      <c r="C10" s="14" t="n">
        <v>807</v>
      </c>
      <c r="D10" s="14" t="n">
        <v>655</v>
      </c>
      <c r="E10" s="14" t="n">
        <v>555</v>
      </c>
      <c r="F10" s="14" t="n">
        <v>424</v>
      </c>
      <c r="G10" s="14" t="n">
        <v>323</v>
      </c>
    </row>
    <row r="11" customFormat="false" ht="15" hidden="false" customHeight="false" outlineLevel="0" collapsed="false">
      <c r="A11" s="13" t="s">
        <v>17</v>
      </c>
      <c r="B11" s="14" t="n">
        <v>2062</v>
      </c>
      <c r="C11" s="14" t="n">
        <v>1650</v>
      </c>
      <c r="D11" s="14" t="n">
        <v>1341</v>
      </c>
      <c r="E11" s="14" t="n">
        <v>1134</v>
      </c>
      <c r="F11" s="14" t="n">
        <v>866</v>
      </c>
      <c r="G11" s="14" t="n">
        <v>660</v>
      </c>
    </row>
    <row r="12" customFormat="false" ht="15" hidden="false" customHeight="false" outlineLevel="0" collapsed="false">
      <c r="A12" s="13" t="s">
        <v>18</v>
      </c>
      <c r="B12" s="14" t="n">
        <v>2635</v>
      </c>
      <c r="C12" s="14" t="n">
        <v>2108</v>
      </c>
      <c r="D12" s="14" t="n">
        <v>1713</v>
      </c>
      <c r="E12" s="14" t="n">
        <v>1449</v>
      </c>
      <c r="F12" s="14" t="n">
        <v>1107</v>
      </c>
      <c r="G12" s="14" t="n">
        <v>843</v>
      </c>
    </row>
    <row r="13" customFormat="false" ht="15" hidden="false" customHeight="false" outlineLevel="0" collapsed="false">
      <c r="A13" s="13" t="s">
        <v>19</v>
      </c>
      <c r="B13" s="14" t="n">
        <v>2406</v>
      </c>
      <c r="C13" s="14" t="n">
        <v>1925</v>
      </c>
      <c r="D13" s="14" t="n">
        <v>1564</v>
      </c>
      <c r="E13" s="14" t="n">
        <v>1323</v>
      </c>
      <c r="F13" s="14" t="n">
        <v>1011</v>
      </c>
      <c r="G13" s="14" t="n">
        <v>770</v>
      </c>
    </row>
    <row r="14" customFormat="false" ht="15" hidden="false" customHeight="false" outlineLevel="0" collapsed="false">
      <c r="A14" s="13" t="s">
        <v>20</v>
      </c>
      <c r="B14" s="14" t="n">
        <v>1393</v>
      </c>
      <c r="C14" s="14" t="n">
        <v>1115</v>
      </c>
      <c r="D14" s="14" t="n">
        <v>906</v>
      </c>
      <c r="E14" s="14" t="n">
        <v>766</v>
      </c>
      <c r="F14" s="14" t="n">
        <v>585</v>
      </c>
      <c r="G14" s="14" t="n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5" t="s">
        <v>29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7" t="s">
        <v>30</v>
      </c>
    </row>
    <row r="4" customFormat="false" ht="30" hidden="false" customHeight="true" outlineLevel="0" collapsed="false">
      <c r="A4" s="16" t="s">
        <v>31</v>
      </c>
    </row>
    <row r="5" customFormat="false" ht="30" hidden="false" customHeight="true" outlineLevel="0" collapsed="false">
      <c r="A5" s="16" t="s">
        <v>32</v>
      </c>
    </row>
    <row r="6" customFormat="false" ht="15" hidden="false" customHeight="false" outlineLevel="0" collapsed="false">
      <c r="A6" s="16"/>
    </row>
    <row r="7" customFormat="false" ht="15" hidden="false" customHeight="false" outlineLevel="0" collapsed="false">
      <c r="A7" s="17" t="s">
        <v>33</v>
      </c>
    </row>
    <row r="8" customFormat="false" ht="30" hidden="false" customHeight="true" outlineLevel="0" collapsed="false">
      <c r="A8" s="16" t="s">
        <v>34</v>
      </c>
    </row>
    <row r="9" customFormat="false" ht="15" hidden="false" customHeight="false" outlineLevel="0" collapsed="false">
      <c r="A9" s="16"/>
    </row>
    <row r="10" customFormat="false" ht="15" hidden="false" customHeight="false" outlineLevel="0" collapsed="false">
      <c r="A10" s="17" t="s">
        <v>35</v>
      </c>
    </row>
    <row r="11" customFormat="false" ht="30" hidden="false" customHeight="true" outlineLevel="0" collapsed="false">
      <c r="A11" s="16" t="s">
        <v>36</v>
      </c>
    </row>
    <row r="12" customFormat="false" ht="15" hidden="false" customHeight="false" outlineLevel="0" collapsed="false">
      <c r="A12" s="16"/>
    </row>
    <row r="13" customFormat="false" ht="15" hidden="false" customHeight="false" outlineLevel="0" collapsed="false">
      <c r="A13" s="17" t="s">
        <v>37</v>
      </c>
    </row>
    <row r="14" customFormat="false" ht="30" hidden="false" customHeight="true" outlineLevel="0" collapsed="false">
      <c r="A14" s="16" t="s">
        <v>38</v>
      </c>
    </row>
    <row r="15" customFormat="false" ht="15" hidden="false" customHeight="false" outlineLevel="0" collapsed="false">
      <c r="A15" s="16"/>
    </row>
    <row r="16" customFormat="false" ht="15" hidden="false" customHeight="false" outlineLevel="0" collapsed="false">
      <c r="A16" s="17" t="s">
        <v>39</v>
      </c>
    </row>
    <row r="17" customFormat="false" ht="30" hidden="false" customHeight="true" outlineLevel="0" collapsed="false">
      <c r="A17" s="1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2026-06-27T13:17:20Z</dcterms:created>
  <dc:creator>Avia Solutions</dc:creator>
  <dc:description/>
  <dc:language>en-US</dc:language>
  <cp:lastModifiedBy>Avia Solutions</cp:lastModifiedBy>
  <dcterms:modified xsi:type="dcterms:W3CDTF">2026-06-27T13:17:20Z</dcterms:modified>
  <cp:revision>0</cp:revision>
  <dc:subject/>
  <dc:title>Ownership leg - blended cost of capital by airline type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