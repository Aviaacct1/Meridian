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" sheetId="1" state="visible" r:id="rId3"/>
    <sheet name="1_Route_Metadata" sheetId="2" state="visible" r:id="rId4"/>
    <sheet name="2_Summary_Schedule" sheetId="3" state="visible" r:id="rId5"/>
    <sheet name="3_Segment_Forecast" sheetId="4" state="visible" r:id="rId6"/>
    <sheet name="4_Connecting_at_Hub" sheetId="5" state="visible" r:id="rId7"/>
    <sheet name="5_Connecting_at_Dest" sheetId="6" state="visible" r:id="rId8"/>
    <sheet name="6_Revenue_3yr" sheetId="7" state="visible" r:id="rId9"/>
    <sheet name="7_Economics_Yr1" sheetId="8" state="visible" r:id="rId10"/>
    <sheet name="8_Revenue_Build" sheetId="9" state="visible" r:id="rId11"/>
    <sheet name="9_Catchme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<sst xmlns="http://schemas.openxmlformats.org/spreadsheetml/2006/main" count="435" uniqueCount="322">
  <si>
    <t xml:space="preserve">Avia deck data contract</t>
  </si>
  <si>
    <t xml:space="preserve">Author</t>
  </si>
  <si>
    <t xml:space="preserve">Avia Solutions</t>
  </si>
  <si>
    <t xml:space="preserve">Route</t>
  </si>
  <si>
    <t xml:space="preserve">British Airways LHR-SJC</t>
  </si>
  <si>
    <t xml:space="preserve">Service year</t>
  </si>
  <si>
    <t xml:space="preserve">Aircraft</t>
  </si>
  <si>
    <t xml:space="preserve">B788 (214 seats)</t>
  </si>
  <si>
    <t xml:space="preserve">Frequency/week</t>
  </si>
  <si>
    <t xml:space="preserve">Distance</t>
  </si>
  <si>
    <t xml:space="preserve">8618 km / 4653 nm</t>
  </si>
  <si>
    <t xml:space="preserve">Source</t>
  </si>
  <si>
    <t xml:space="preserve">BA LHR-SJC validated 2015 deck (British Airways Master forecast slides (OS) 06Mar2015); acceptance test</t>
  </si>
  <si>
    <t xml:space="preserve">Field</t>
  </si>
  <si>
    <t xml:space="preserve">Value</t>
  </si>
  <si>
    <t xml:space="preserve">Airline</t>
  </si>
  <si>
    <t xml:space="preserve">British Airways</t>
  </si>
  <si>
    <t xml:space="preserve">Airline IATA</t>
  </si>
  <si>
    <t xml:space="preserve">BA</t>
  </si>
  <si>
    <t xml:space="preserve">Origin airport</t>
  </si>
  <si>
    <t xml:space="preserve">LHR</t>
  </si>
  <si>
    <t xml:space="preserve">Origin city code</t>
  </si>
  <si>
    <t xml:space="preserve">LON</t>
  </si>
  <si>
    <t xml:space="preserve">Destination airport</t>
  </si>
  <si>
    <t xml:space="preserve">SJC</t>
  </si>
  <si>
    <t xml:space="preserve">Destination city code</t>
  </si>
  <si>
    <t xml:space="preserve">Hub airport</t>
  </si>
  <si>
    <t xml:space="preserve">Aircraft type</t>
  </si>
  <si>
    <t xml:space="preserve">B788</t>
  </si>
  <si>
    <t xml:space="preserve">Seats</t>
  </si>
  <si>
    <t xml:space="preserve">Frequency per week</t>
  </si>
  <si>
    <t xml:space="preserve">Distance (km)</t>
  </si>
  <si>
    <t xml:space="preserve">Distance (nm)</t>
  </si>
  <si>
    <t xml:space="preserve">P2P market</t>
  </si>
  <si>
    <t xml:space="preserve">Connecting market over hub</t>
  </si>
  <si>
    <t xml:space="preserve">Connecting market over destination</t>
  </si>
  <si>
    <t xml:space="preserve">Point to point market</t>
  </si>
  <si>
    <t xml:space="preserve">Based on AviaSolutions' San Jose Service Area catchment analysis</t>
  </si>
  <si>
    <t xml:space="preserve">Sector</t>
  </si>
  <si>
    <t xml:space="preserve">Dep</t>
  </si>
  <si>
    <t xml:space="preserve">Arr</t>
  </si>
  <si>
    <t xml:space="preserve">Op Days</t>
  </si>
  <si>
    <t xml:space="preserve">Annual Seats</t>
  </si>
  <si>
    <t xml:space="preserve">Annual Pax</t>
  </si>
  <si>
    <t xml:space="preserve">Seat Factor</t>
  </si>
  <si>
    <t xml:space="preserve">LHR-SJC</t>
  </si>
  <si>
    <t xml:space="preserve">11:30</t>
  </si>
  <si>
    <t xml:space="preserve">14:30</t>
  </si>
  <si>
    <t xml:space="preserve">Daily</t>
  </si>
  <si>
    <t xml:space="preserve">SJC-LHR</t>
  </si>
  <si>
    <t xml:space="preserve">16:30</t>
  </si>
  <si>
    <t xml:space="preserve">10:55+1</t>
  </si>
  <si>
    <t xml:space="preserve">TOTAL</t>
  </si>
  <si>
    <t xml:space="preserve">7/wk each way</t>
  </si>
  <si>
    <t xml:space="preserve">Market segment</t>
  </si>
  <si>
    <t xml:space="preserve">Base Annual Demand</t>
  </si>
  <si>
    <t xml:space="preserve">Annual Growth Rate</t>
  </si>
  <si>
    <t xml:space="preserve">Demand at Service Year</t>
  </si>
  <si>
    <t xml:space="preserve">Stimulation</t>
  </si>
  <si>
    <t xml:space="preserve">Demand After Stimulation</t>
  </si>
  <si>
    <t xml:space="preserve">Capture Rate</t>
  </si>
  <si>
    <t xml:space="preserve">Forecast</t>
  </si>
  <si>
    <t xml:space="preserve">PDEW</t>
  </si>
  <si>
    <t xml:space="preserve">Origin (UK) Business</t>
  </si>
  <si>
    <t xml:space="preserve">Origin (UK) Leisure/VFR Primary</t>
  </si>
  <si>
    <t xml:space="preserve">Origin (UK) Leisure/VFR Secondary</t>
  </si>
  <si>
    <t xml:space="preserve">Origin (UK) Leisure/VFR Contested</t>
  </si>
  <si>
    <t xml:space="preserve">Destination (US) Business</t>
  </si>
  <si>
    <t xml:space="preserve">Destination (US) Leisure/VFR Primary</t>
  </si>
  <si>
    <t xml:space="preserve">Destination (US) Leisure/VFR Secondary</t>
  </si>
  <si>
    <t xml:space="preserve">Destination (US) Leisure/VFR Contested</t>
  </si>
  <si>
    <t xml:space="preserve">Point-to-point total</t>
  </si>
  <si>
    <t xml:space="preserve">Connecting at hub total</t>
  </si>
  <si>
    <t xml:space="preserve">Connecting at destination total</t>
  </si>
  <si>
    <t xml:space="preserve">GRAND TOTAL</t>
  </si>
  <si>
    <t xml:space="preserve">Nr</t>
  </si>
  <si>
    <t xml:space="preserve">City Code</t>
  </si>
  <si>
    <t xml:space="preserve">City Name</t>
  </si>
  <si>
    <t xml:space="preserve">Country</t>
  </si>
  <si>
    <t xml:space="preserve">Annual Demand</t>
  </si>
  <si>
    <t xml:space="preserve">Airline Share</t>
  </si>
  <si>
    <t xml:space="preserve">Annual Forecast</t>
  </si>
  <si>
    <t xml:space="preserve">PAR</t>
  </si>
  <si>
    <t xml:space="preserve">Paris</t>
  </si>
  <si>
    <t xml:space="preserve">France</t>
  </si>
  <si>
    <t xml:space="preserve">DUB</t>
  </si>
  <si>
    <t xml:space="preserve">Dublin</t>
  </si>
  <si>
    <t xml:space="preserve">Ireland</t>
  </si>
  <si>
    <t xml:space="preserve">MUC</t>
  </si>
  <si>
    <t xml:space="preserve">Munich</t>
  </si>
  <si>
    <t xml:space="preserve">Germany</t>
  </si>
  <si>
    <t xml:space="preserve">CPT</t>
  </si>
  <si>
    <t xml:space="preserve">Cape Town</t>
  </si>
  <si>
    <t xml:space="preserve">South Africa</t>
  </si>
  <si>
    <t xml:space="preserve">FRA</t>
  </si>
  <si>
    <t xml:space="preserve">Frankfurt</t>
  </si>
  <si>
    <t xml:space="preserve">DUS</t>
  </si>
  <si>
    <t xml:space="preserve">Dusseldorf</t>
  </si>
  <si>
    <t xml:space="preserve">AMS</t>
  </si>
  <si>
    <t xml:space="preserve">Amsterdam</t>
  </si>
  <si>
    <t xml:space="preserve">Netherlands</t>
  </si>
  <si>
    <t xml:space="preserve">STO</t>
  </si>
  <si>
    <t xml:space="preserve">Stockholm</t>
  </si>
  <si>
    <t xml:space="preserve">Sweden</t>
  </si>
  <si>
    <t xml:space="preserve">GVA</t>
  </si>
  <si>
    <t xml:space="preserve">Geneva</t>
  </si>
  <si>
    <t xml:space="preserve">Switzerland</t>
  </si>
  <si>
    <t xml:space="preserve">HEL</t>
  </si>
  <si>
    <t xml:space="preserve">Helsinki</t>
  </si>
  <si>
    <t xml:space="preserve">Finland</t>
  </si>
  <si>
    <t xml:space="preserve">CAI</t>
  </si>
  <si>
    <t xml:space="preserve">Cairo</t>
  </si>
  <si>
    <t xml:space="preserve">Egypt</t>
  </si>
  <si>
    <t xml:space="preserve">MIL</t>
  </si>
  <si>
    <t xml:space="preserve">Milan</t>
  </si>
  <si>
    <t xml:space="preserve">Italy</t>
  </si>
  <si>
    <t xml:space="preserve">BER</t>
  </si>
  <si>
    <t xml:space="preserve">Berlin</t>
  </si>
  <si>
    <t xml:space="preserve">GLA</t>
  </si>
  <si>
    <t xml:space="preserve">Glasgow</t>
  </si>
  <si>
    <t xml:space="preserve">United Kingdom</t>
  </si>
  <si>
    <t xml:space="preserve">CPH</t>
  </si>
  <si>
    <t xml:space="preserve">Copenhagen</t>
  </si>
  <si>
    <t xml:space="preserve">Denmark</t>
  </si>
  <si>
    <t xml:space="preserve">BCN</t>
  </si>
  <si>
    <t xml:space="preserve">Barcelona</t>
  </si>
  <si>
    <t xml:space="preserve">Spain</t>
  </si>
  <si>
    <t xml:space="preserve">TLV</t>
  </si>
  <si>
    <t xml:space="preserve">Tel Aviv-Yafo</t>
  </si>
  <si>
    <t xml:space="preserve">Israel</t>
  </si>
  <si>
    <t xml:space="preserve">ZRH</t>
  </si>
  <si>
    <t xml:space="preserve">Zurich</t>
  </si>
  <si>
    <t xml:space="preserve">ORK</t>
  </si>
  <si>
    <t xml:space="preserve">Cork</t>
  </si>
  <si>
    <t xml:space="preserve">JED</t>
  </si>
  <si>
    <t xml:space="preserve">Jeddah</t>
  </si>
  <si>
    <t xml:space="preserve">Saudi Arabia</t>
  </si>
  <si>
    <t xml:space="preserve">EDI</t>
  </si>
  <si>
    <t xml:space="preserve">Edinburgh</t>
  </si>
  <si>
    <t xml:space="preserve">OSL</t>
  </si>
  <si>
    <t xml:space="preserve">Oslo</t>
  </si>
  <si>
    <t xml:space="preserve">Norway</t>
  </si>
  <si>
    <t xml:space="preserve">ROM</t>
  </si>
  <si>
    <t xml:space="preserve">Rome</t>
  </si>
  <si>
    <t xml:space="preserve">VIE</t>
  </si>
  <si>
    <t xml:space="preserve">Vienna</t>
  </si>
  <si>
    <t xml:space="preserve">Austria</t>
  </si>
  <si>
    <t xml:space="preserve">PRG</t>
  </si>
  <si>
    <t xml:space="preserve">Prague</t>
  </si>
  <si>
    <t xml:space="preserve">Czech Republic</t>
  </si>
  <si>
    <t xml:space="preserve">MAD</t>
  </si>
  <si>
    <t xml:space="preserve">Madrid</t>
  </si>
  <si>
    <t xml:space="preserve">LYS</t>
  </si>
  <si>
    <t xml:space="preserve">Grenoble/Lyon</t>
  </si>
  <si>
    <t xml:space="preserve">DXB</t>
  </si>
  <si>
    <t xml:space="preserve">Dubai</t>
  </si>
  <si>
    <t xml:space="preserve">UAE</t>
  </si>
  <si>
    <t xml:space="preserve">MAN</t>
  </si>
  <si>
    <t xml:space="preserve">Manchester</t>
  </si>
  <si>
    <t xml:space="preserve">BRU</t>
  </si>
  <si>
    <t xml:space="preserve">Brussels</t>
  </si>
  <si>
    <t xml:space="preserve">Belgium</t>
  </si>
  <si>
    <t xml:space="preserve">JNB</t>
  </si>
  <si>
    <t xml:space="preserve">Johannesburg</t>
  </si>
  <si>
    <t xml:space="preserve">EAP</t>
  </si>
  <si>
    <t xml:space="preserve">Basel/Mulhouse</t>
  </si>
  <si>
    <t xml:space="preserve">NCE</t>
  </si>
  <si>
    <t xml:space="preserve">Nice</t>
  </si>
  <si>
    <t xml:space="preserve">HAM</t>
  </si>
  <si>
    <t xml:space="preserve">Hamburg</t>
  </si>
  <si>
    <t xml:space="preserve">IST</t>
  </si>
  <si>
    <t xml:space="preserve">Istanbul</t>
  </si>
  <si>
    <t xml:space="preserve">Turkey</t>
  </si>
  <si>
    <t xml:space="preserve">BUD</t>
  </si>
  <si>
    <t xml:space="preserve">Budapest</t>
  </si>
  <si>
    <t xml:space="preserve">Hungary</t>
  </si>
  <si>
    <t xml:space="preserve">ATH</t>
  </si>
  <si>
    <t xml:space="preserve">Athens</t>
  </si>
  <si>
    <t xml:space="preserve">Greece</t>
  </si>
  <si>
    <t xml:space="preserve">BFS</t>
  </si>
  <si>
    <t xml:space="preserve">Belfast</t>
  </si>
  <si>
    <t xml:space="preserve">VCE</t>
  </si>
  <si>
    <t xml:space="preserve">Venice</t>
  </si>
  <si>
    <t xml:space="preserve">HAJ</t>
  </si>
  <si>
    <t xml:space="preserve">Hannover</t>
  </si>
  <si>
    <t xml:space="preserve">ABV</t>
  </si>
  <si>
    <t xml:space="preserve">Abuja</t>
  </si>
  <si>
    <t xml:space="preserve">Nigeria</t>
  </si>
  <si>
    <t xml:space="preserve">SNN</t>
  </si>
  <si>
    <t xml:space="preserve">Shannon</t>
  </si>
  <si>
    <t xml:space="preserve">GOT</t>
  </si>
  <si>
    <t xml:space="preserve">Goteborg</t>
  </si>
  <si>
    <t xml:space="preserve">ABZ</t>
  </si>
  <si>
    <t xml:space="preserve">Aberdeen</t>
  </si>
  <si>
    <t xml:space="preserve">BLQ</t>
  </si>
  <si>
    <t xml:space="preserve">Bologna</t>
  </si>
  <si>
    <t xml:space="preserve">NCL</t>
  </si>
  <si>
    <t xml:space="preserve">Newcastle</t>
  </si>
  <si>
    <t xml:space="preserve">MOW</t>
  </si>
  <si>
    <t xml:space="preserve">Moscow</t>
  </si>
  <si>
    <t xml:space="preserve">Russia</t>
  </si>
  <si>
    <t xml:space="preserve">BUH</t>
  </si>
  <si>
    <t xml:space="preserve">Bucharest</t>
  </si>
  <si>
    <t xml:space="preserve">Romania</t>
  </si>
  <si>
    <t xml:space="preserve">LIS</t>
  </si>
  <si>
    <t xml:space="preserve">Lisbon</t>
  </si>
  <si>
    <t xml:space="preserve">Portugal</t>
  </si>
  <si>
    <t xml:space="preserve">LAD</t>
  </si>
  <si>
    <t xml:space="preserve">Luanda</t>
  </si>
  <si>
    <t xml:space="preserve">Angola</t>
  </si>
  <si>
    <t xml:space="preserve">TLS</t>
  </si>
  <si>
    <t xml:space="preserve">Toulouse</t>
  </si>
  <si>
    <t xml:space="preserve">MRS</t>
  </si>
  <si>
    <t xml:space="preserve">Marseille</t>
  </si>
  <si>
    <t xml:space="preserve">PSA</t>
  </si>
  <si>
    <t xml:space="preserve">Pisa</t>
  </si>
  <si>
    <t xml:space="preserve">RUH</t>
  </si>
  <si>
    <t xml:space="preserve">Riyadh</t>
  </si>
  <si>
    <t xml:space="preserve">WAW</t>
  </si>
  <si>
    <t xml:space="preserve">Warsaw</t>
  </si>
  <si>
    <t xml:space="preserve">Poland</t>
  </si>
  <si>
    <t xml:space="preserve">LBA</t>
  </si>
  <si>
    <t xml:space="preserve">Leeds Bradford</t>
  </si>
  <si>
    <t xml:space="preserve">STR</t>
  </si>
  <si>
    <t xml:space="preserve">Stuttgart</t>
  </si>
  <si>
    <t xml:space="preserve">BEY</t>
  </si>
  <si>
    <t xml:space="preserve">Beirut</t>
  </si>
  <si>
    <t xml:space="preserve">Lebanon</t>
  </si>
  <si>
    <t xml:space="preserve">KWI</t>
  </si>
  <si>
    <t xml:space="preserve">Kuwait</t>
  </si>
  <si>
    <t xml:space="preserve">DOH</t>
  </si>
  <si>
    <t xml:space="preserve">Doha</t>
  </si>
  <si>
    <t xml:space="preserve">Qatar</t>
  </si>
  <si>
    <t xml:space="preserve">ZAG</t>
  </si>
  <si>
    <t xml:space="preserve">Zagreb</t>
  </si>
  <si>
    <t xml:space="preserve">Croatia</t>
  </si>
  <si>
    <t xml:space="preserve">BIO</t>
  </si>
  <si>
    <t xml:space="preserve">Bilbao</t>
  </si>
  <si>
    <t xml:space="preserve">LUX</t>
  </si>
  <si>
    <t xml:space="preserve">Luxembourg</t>
  </si>
  <si>
    <t xml:space="preserve">NBO</t>
  </si>
  <si>
    <t xml:space="preserve">Nairobi</t>
  </si>
  <si>
    <t xml:space="preserve">Kenya</t>
  </si>
  <si>
    <t xml:space="preserve">BGO</t>
  </si>
  <si>
    <t xml:space="preserve">Bergen</t>
  </si>
  <si>
    <t xml:space="preserve">LOS</t>
  </si>
  <si>
    <t xml:space="preserve">Lagos</t>
  </si>
  <si>
    <t xml:space="preserve">EBB</t>
  </si>
  <si>
    <t xml:space="preserve">Entebbe</t>
  </si>
  <si>
    <t xml:space="preserve">Uganda</t>
  </si>
  <si>
    <t xml:space="preserve">ACC</t>
  </si>
  <si>
    <t xml:space="preserve">Accra</t>
  </si>
  <si>
    <t xml:space="preserve">Ghana</t>
  </si>
  <si>
    <t xml:space="preserve">SVG</t>
  </si>
  <si>
    <t xml:space="preserve">Stavanger</t>
  </si>
  <si>
    <t xml:space="preserve">CMB</t>
  </si>
  <si>
    <t xml:space="preserve">Colombo</t>
  </si>
  <si>
    <t xml:space="preserve">Sri Lanka</t>
  </si>
  <si>
    <t xml:space="preserve">AUH</t>
  </si>
  <si>
    <t xml:space="preserve">Abu Dhabi</t>
  </si>
  <si>
    <t xml:space="preserve">BAH</t>
  </si>
  <si>
    <t xml:space="preserve">Bahrain</t>
  </si>
  <si>
    <t xml:space="preserve">SPU</t>
  </si>
  <si>
    <t xml:space="preserve">Split</t>
  </si>
  <si>
    <t xml:space="preserve">IBZ</t>
  </si>
  <si>
    <t xml:space="preserve">Ibiza</t>
  </si>
  <si>
    <t xml:space="preserve">Other</t>
  </si>
  <si>
    <t xml:space="preserve">Per-city table extractable identically to connecting_at_hub; the SJC behind-feed is a 2,628-pax flow (US domestic over SJC). Buckets: direct-comp 800, no-direct-comp 1,800.</t>
  </si>
  <si>
    <t xml:space="preserve">Passenger demand</t>
  </si>
  <si>
    <t xml:space="preserve">2016</t>
  </si>
  <si>
    <t xml:space="preserve">2017</t>
  </si>
  <si>
    <t xml:space="preserve">2018</t>
  </si>
  <si>
    <t xml:space="preserve">Point to point</t>
  </si>
  <si>
    <t xml:space="preserve">Connecting at hub</t>
  </si>
  <si>
    <t xml:space="preserve">Connecting at destination</t>
  </si>
  <si>
    <t xml:space="preserve">Total</t>
  </si>
  <si>
    <t xml:space="preserve">Annual capacity</t>
  </si>
  <si>
    <t xml:space="preserve">Implied load factor</t>
  </si>
  <si>
    <t xml:space="preserve">Revenue ($)</t>
  </si>
  <si>
    <t xml:space="preserve">Cargo</t>
  </si>
  <si>
    <t xml:space="preserve">Ancillary</t>
  </si>
  <si>
    <t xml:space="preserve">Metric</t>
  </si>
  <si>
    <t xml:space="preserve">Equipment</t>
  </si>
  <si>
    <t xml:space="preserve">Weekly departures</t>
  </si>
  <si>
    <t xml:space="preserve">Total departures (annual, 2-way)</t>
  </si>
  <si>
    <t xml:space="preserve">Block hours per departure</t>
  </si>
  <si>
    <t xml:space="preserve">Business seats</t>
  </si>
  <si>
    <t xml:space="preserve">Premium coach seats</t>
  </si>
  <si>
    <t xml:space="preserve">Coach seats</t>
  </si>
  <si>
    <t xml:space="preserve">Total seats</t>
  </si>
  <si>
    <t xml:space="preserve">Seats per departure</t>
  </si>
  <si>
    <t xml:space="preserve">Total load factor</t>
  </si>
  <si>
    <t xml:space="preserve">Avg OW fare - point to point</t>
  </si>
  <si>
    <t xml:space="preserve">Avg OW fare - connecting</t>
  </si>
  <si>
    <t xml:space="preserve">Avg OW fare - blended</t>
  </si>
  <si>
    <t xml:space="preserve">Yield (rev/RPK)</t>
  </si>
  <si>
    <t xml:space="preserve">PRASK</t>
  </si>
  <si>
    <t xml:space="preserve">Passenger revenue</t>
  </si>
  <si>
    <t xml:space="preserve">Cargo revenue</t>
  </si>
  <si>
    <t xml:space="preserve">Ancillary revenue</t>
  </si>
  <si>
    <t xml:space="preserve">Total revenue</t>
  </si>
  <si>
    <t xml:space="preserve">TRASK</t>
  </si>
  <si>
    <t xml:space="preserve">CASK</t>
  </si>
  <si>
    <t xml:space="preserve">Breakeven load factor</t>
  </si>
  <si>
    <t xml:space="preserve">Revenue build by flow ($)</t>
  </si>
  <si>
    <t xml:space="preserve">Flow</t>
  </si>
  <si>
    <t xml:space="preserve">Revenue build by cabin ($)</t>
  </si>
  <si>
    <t xml:space="preserve">Cabin</t>
  </si>
  <si>
    <t xml:space="preserve">Business</t>
  </si>
  <si>
    <t xml:space="preserve">Premium coach</t>
  </si>
  <si>
    <t xml:space="preserve">Coach</t>
  </si>
  <si>
    <t xml:space="preserve">Cabin revenue split needs the cabin fare x cabin pax split (Market Forecast Scenario slide / model cabin allocation); not in the revenue table extract.</t>
  </si>
  <si>
    <t xml:space="preserve">Zone</t>
  </si>
  <si>
    <t xml:space="preserve">Definition</t>
  </si>
  <si>
    <t xml:space="preserve">Primary</t>
  </si>
  <si>
    <t xml:space="preserve">Core San Jose service area - the inner catchment where SJC is the clear nearest gateway.</t>
  </si>
  <si>
    <t xml:space="preserve">Secondary</t>
  </si>
  <si>
    <t xml:space="preserve">Wider Bay Area where SJC competes with SFO/OAK on access time.</t>
  </si>
  <si>
    <t xml:space="preserve">Contested</t>
  </si>
  <si>
    <t xml:space="preserve">Outer overlap shared with SFO/OAK; demand split by generalised cost.</t>
  </si>
  <si>
    <t xml:space="preserve">Top markets beyond hub</t>
  </si>
  <si>
    <t xml:space="preserve">City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</si>
</sst>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0" t="s">
        <v>5</v>
      </c>
      <c r="B4" s="0" t="n">
        <v>2016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0" t="s">
        <v>8</v>
      </c>
      <c r="B6" s="0" t="n">
        <v>7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2" t="s">
        <v>13</v>
      </c>
      <c r="B1" s="2" t="s">
        <v>14</v>
      </c>
    </row>
    <row r="2" customFormat="false" ht="15" hidden="false" customHeight="false" outlineLevel="0" collapsed="false">
      <c r="A2" s="3" t="s">
        <v>15</v>
      </c>
      <c r="B2" s="0" t="s">
        <v>16</v>
      </c>
    </row>
    <row r="3" customFormat="false" ht="15" hidden="false" customHeight="false" outlineLevel="0" collapsed="false">
      <c r="A3" s="3" t="s">
        <v>17</v>
      </c>
      <c r="B3" s="0" t="s">
        <v>18</v>
      </c>
    </row>
    <row r="4" customFormat="false" ht="15" hidden="false" customHeight="false" outlineLevel="0" collapsed="false">
      <c r="A4" s="3" t="s">
        <v>19</v>
      </c>
      <c r="B4" s="0" t="s">
        <v>20</v>
      </c>
    </row>
    <row r="5" customFormat="false" ht="15" hidden="false" customHeight="false" outlineLevel="0" collapsed="false">
      <c r="A5" s="3" t="s">
        <v>21</v>
      </c>
      <c r="B5" s="0" t="s">
        <v>22</v>
      </c>
    </row>
    <row r="6" customFormat="false" ht="15" hidden="false" customHeight="false" outlineLevel="0" collapsed="false">
      <c r="A6" s="3" t="s">
        <v>23</v>
      </c>
      <c r="B6" s="0" t="s">
        <v>24</v>
      </c>
    </row>
    <row r="7" customFormat="false" ht="15" hidden="false" customHeight="false" outlineLevel="0" collapsed="false">
      <c r="A7" s="3" t="s">
        <v>25</v>
      </c>
      <c r="B7" s="0" t="s">
        <v>24</v>
      </c>
    </row>
    <row r="8" customFormat="false" ht="15" hidden="false" customHeight="false" outlineLevel="0" collapsed="false">
      <c r="A8" s="3" t="s">
        <v>26</v>
      </c>
      <c r="B8" s="0" t="s">
        <v>20</v>
      </c>
    </row>
    <row r="9" customFormat="false" ht="15" hidden="false" customHeight="false" outlineLevel="0" collapsed="false">
      <c r="A9" s="3" t="s">
        <v>27</v>
      </c>
      <c r="B9" s="0" t="s">
        <v>28</v>
      </c>
    </row>
    <row r="10" customFormat="false" ht="15" hidden="false" customHeight="false" outlineLevel="0" collapsed="false">
      <c r="A10" s="3" t="s">
        <v>29</v>
      </c>
      <c r="B10" s="0" t="n">
        <v>214</v>
      </c>
    </row>
    <row r="11" customFormat="false" ht="15" hidden="false" customHeight="false" outlineLevel="0" collapsed="false">
      <c r="A11" s="3" t="s">
        <v>30</v>
      </c>
      <c r="B11" s="0" t="n">
        <v>7</v>
      </c>
    </row>
    <row r="12" customFormat="false" ht="15" hidden="false" customHeight="false" outlineLevel="0" collapsed="false">
      <c r="A12" s="3" t="s">
        <v>5</v>
      </c>
      <c r="B12" s="0" t="n">
        <v>2016</v>
      </c>
    </row>
    <row r="13" customFormat="false" ht="15" hidden="false" customHeight="false" outlineLevel="0" collapsed="false">
      <c r="A13" s="3" t="s">
        <v>31</v>
      </c>
      <c r="B13" s="0" t="n">
        <v>8618.1</v>
      </c>
    </row>
    <row r="14" customFormat="false" ht="15" hidden="false" customHeight="false" outlineLevel="0" collapsed="false">
      <c r="A14" s="3" t="s">
        <v>32</v>
      </c>
      <c r="B14" s="0" t="n">
        <v>4653.4</v>
      </c>
    </row>
    <row r="15" customFormat="false" ht="15" hidden="false" customHeight="false" outlineLevel="0" collapsed="false">
      <c r="A15" s="3" t="s">
        <v>33</v>
      </c>
      <c r="B15" s="0" t="n">
        <v>249800</v>
      </c>
    </row>
    <row r="16" customFormat="false" ht="15" hidden="false" customHeight="false" outlineLevel="0" collapsed="false">
      <c r="A16" s="3" t="s">
        <v>34</v>
      </c>
      <c r="B16" s="0" t="n">
        <v>904500</v>
      </c>
    </row>
    <row r="17" customFormat="false" ht="15" hidden="false" customHeight="false" outlineLevel="0" collapsed="false">
      <c r="A17" s="3" t="s">
        <v>35</v>
      </c>
      <c r="B17" s="0" t="n">
        <v>1107200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0" t="s">
        <v>36</v>
      </c>
      <c r="B1" s="0" t="n">
        <v>249800</v>
      </c>
    </row>
    <row r="2" customFormat="false" ht="15" hidden="false" customHeight="false" outlineLevel="0" collapsed="false">
      <c r="A2" s="0" t="s">
        <v>34</v>
      </c>
      <c r="B2" s="0" t="n">
        <v>904500</v>
      </c>
    </row>
    <row r="3" customFormat="false" ht="15" hidden="false" customHeight="false" outlineLevel="0" collapsed="false">
      <c r="A3" s="0" t="s">
        <v>35</v>
      </c>
      <c r="B3" s="0" t="n">
        <v>1107200</v>
      </c>
    </row>
    <row r="4" customFormat="false" ht="15" hidden="false" customHeight="false" outlineLevel="0" collapsed="false">
      <c r="A4" s="0" t="s">
        <v>37</v>
      </c>
    </row>
    <row r="6" customFormat="false" ht="26.8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41</v>
      </c>
      <c r="E6" s="2" t="s">
        <v>6</v>
      </c>
      <c r="F6" s="2" t="s">
        <v>29</v>
      </c>
      <c r="G6" s="2" t="s">
        <v>42</v>
      </c>
      <c r="H6" s="2" t="s">
        <v>43</v>
      </c>
      <c r="I6" s="2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  <c r="D7" s="0" t="s">
        <v>48</v>
      </c>
      <c r="E7" s="0" t="s">
        <v>28</v>
      </c>
      <c r="F7" s="0" t="n">
        <v>214</v>
      </c>
      <c r="G7" s="0" t="n">
        <v>77896</v>
      </c>
      <c r="H7" s="0" t="n">
        <v>65173</v>
      </c>
      <c r="I7" s="4" t="n">
        <v>0.837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48</v>
      </c>
      <c r="E8" s="0" t="s">
        <v>28</v>
      </c>
      <c r="F8" s="0" t="n">
        <v>214</v>
      </c>
      <c r="G8" s="0" t="n">
        <v>77896</v>
      </c>
      <c r="H8" s="0" t="n">
        <v>65173</v>
      </c>
      <c r="I8" s="4" t="n">
        <v>0.837</v>
      </c>
    </row>
    <row r="9" customFormat="false" ht="15" hidden="false" customHeight="false" outlineLevel="0" collapsed="false">
      <c r="A9" s="0" t="s">
        <v>52</v>
      </c>
      <c r="D9" s="0" t="s">
        <v>53</v>
      </c>
      <c r="E9" s="0" t="s">
        <v>28</v>
      </c>
      <c r="F9" s="0" t="n">
        <v>214</v>
      </c>
      <c r="G9" s="0" t="n">
        <v>155792</v>
      </c>
      <c r="H9" s="0" t="n">
        <v>130346</v>
      </c>
      <c r="I9" s="4" t="n">
        <v>0.837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8"/>
  </cols>
  <sheetData>
    <row r="1" customFormat="false" ht="26.85" hidden="false" customHeight="false" outlineLevel="0" collapsed="false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customFormat="false" ht="15" hidden="false" customHeight="false" outlineLevel="0" collapsed="false">
      <c r="A2" s="0" t="s">
        <v>63</v>
      </c>
      <c r="B2" s="0" t="n">
        <v>71400</v>
      </c>
      <c r="C2" s="4" t="n">
        <v>0.09</v>
      </c>
      <c r="D2" s="0" t="n">
        <v>77900</v>
      </c>
      <c r="E2" s="0" t="n">
        <v>1.15</v>
      </c>
      <c r="F2" s="0" t="n">
        <v>89600</v>
      </c>
      <c r="G2" s="4" t="n">
        <v>0.4</v>
      </c>
      <c r="H2" s="0" t="n">
        <v>35800</v>
      </c>
      <c r="I2" s="5" t="n">
        <f aca="false">H2/728</f>
        <v>49.1758241758242</v>
      </c>
    </row>
    <row r="3" customFormat="false" ht="15" hidden="false" customHeight="false" outlineLevel="0" collapsed="false">
      <c r="A3" s="0" t="s">
        <v>64</v>
      </c>
      <c r="B3" s="0" t="n">
        <v>36400</v>
      </c>
      <c r="C3" s="4" t="n">
        <v>0.09</v>
      </c>
      <c r="D3" s="0" t="n">
        <v>39700</v>
      </c>
      <c r="E3" s="0" t="n">
        <v>1</v>
      </c>
      <c r="F3" s="0" t="n">
        <v>39700</v>
      </c>
      <c r="G3" s="4" t="n">
        <v>0.2</v>
      </c>
      <c r="H3" s="0" t="n">
        <v>7900</v>
      </c>
      <c r="I3" s="5" t="n">
        <f aca="false">H3/728</f>
        <v>10.8516483516484</v>
      </c>
    </row>
    <row r="4" customFormat="false" ht="15" hidden="false" customHeight="false" outlineLevel="0" collapsed="false">
      <c r="A4" s="0" t="s">
        <v>65</v>
      </c>
      <c r="B4" s="0" t="n">
        <v>17400</v>
      </c>
      <c r="C4" s="4" t="n">
        <v>0.09</v>
      </c>
      <c r="D4" s="0" t="n">
        <v>19000</v>
      </c>
      <c r="E4" s="0" t="n">
        <v>1</v>
      </c>
      <c r="F4" s="0" t="n">
        <v>19000</v>
      </c>
      <c r="G4" s="4" t="n">
        <v>0.2</v>
      </c>
      <c r="H4" s="0" t="n">
        <v>3800</v>
      </c>
      <c r="I4" s="5" t="n">
        <f aca="false">H4/728</f>
        <v>5.21978021978022</v>
      </c>
    </row>
    <row r="5" customFormat="false" ht="15" hidden="false" customHeight="false" outlineLevel="0" collapsed="false">
      <c r="A5" s="0" t="s">
        <v>66</v>
      </c>
      <c r="B5" s="0" t="n">
        <v>4600</v>
      </c>
      <c r="C5" s="4" t="n">
        <v>0.09</v>
      </c>
      <c r="D5" s="0" t="n">
        <v>5000</v>
      </c>
      <c r="E5" s="0" t="n">
        <v>1</v>
      </c>
      <c r="F5" s="0" t="n">
        <v>5000</v>
      </c>
      <c r="G5" s="4" t="n">
        <v>0.05</v>
      </c>
      <c r="H5" s="0" t="n">
        <v>300</v>
      </c>
      <c r="I5" s="5" t="n">
        <f aca="false">H5/728</f>
        <v>0.412087912087912</v>
      </c>
    </row>
    <row r="6" customFormat="false" ht="15" hidden="false" customHeight="false" outlineLevel="0" collapsed="false">
      <c r="A6" s="0" t="s">
        <v>67</v>
      </c>
      <c r="B6" s="0" t="n">
        <v>65900</v>
      </c>
      <c r="C6" s="4" t="n">
        <v>0.09</v>
      </c>
      <c r="D6" s="0" t="n">
        <v>71900</v>
      </c>
      <c r="E6" s="0" t="n">
        <v>1.15</v>
      </c>
      <c r="F6" s="0" t="n">
        <v>82700</v>
      </c>
      <c r="G6" s="4" t="n">
        <v>0.22</v>
      </c>
      <c r="H6" s="0" t="n">
        <v>18200</v>
      </c>
      <c r="I6" s="5" t="n">
        <f aca="false">H6/728</f>
        <v>25</v>
      </c>
    </row>
    <row r="7" customFormat="false" ht="15" hidden="false" customHeight="false" outlineLevel="0" collapsed="false">
      <c r="A7" s="0" t="s">
        <v>68</v>
      </c>
      <c r="B7" s="0" t="n">
        <v>33600</v>
      </c>
      <c r="C7" s="4" t="n">
        <v>0.075</v>
      </c>
      <c r="D7" s="0" t="n">
        <v>36100</v>
      </c>
      <c r="E7" s="0" t="n">
        <v>1</v>
      </c>
      <c r="F7" s="0" t="n">
        <v>36100</v>
      </c>
      <c r="G7" s="4" t="n">
        <v>0.3</v>
      </c>
      <c r="H7" s="0" t="n">
        <v>10800</v>
      </c>
      <c r="I7" s="5" t="n">
        <f aca="false">H7/728</f>
        <v>14.8351648351648</v>
      </c>
    </row>
    <row r="8" customFormat="false" ht="15" hidden="false" customHeight="false" outlineLevel="0" collapsed="false">
      <c r="A8" s="0" t="s">
        <v>69</v>
      </c>
      <c r="B8" s="0" t="n">
        <v>16100</v>
      </c>
      <c r="C8" s="4" t="n">
        <v>0.075</v>
      </c>
      <c r="D8" s="0" t="n">
        <v>17300</v>
      </c>
      <c r="E8" s="0" t="n">
        <v>1</v>
      </c>
      <c r="F8" s="0" t="n">
        <v>17300</v>
      </c>
      <c r="G8" s="4" t="n">
        <v>0.3</v>
      </c>
      <c r="H8" s="0" t="n">
        <v>5200</v>
      </c>
      <c r="I8" s="5" t="n">
        <f aca="false">H8/728</f>
        <v>7.14285714285714</v>
      </c>
    </row>
    <row r="9" customFormat="false" ht="15" hidden="false" customHeight="false" outlineLevel="0" collapsed="false">
      <c r="A9" s="0" t="s">
        <v>70</v>
      </c>
      <c r="B9" s="0" t="n">
        <v>4300</v>
      </c>
      <c r="C9" s="4" t="n">
        <v>0.075</v>
      </c>
      <c r="D9" s="0" t="n">
        <v>4600</v>
      </c>
      <c r="E9" s="0" t="n">
        <v>1</v>
      </c>
      <c r="F9" s="0" t="n">
        <v>4600</v>
      </c>
      <c r="G9" s="4" t="n">
        <v>0.15</v>
      </c>
      <c r="H9" s="0" t="n">
        <v>700</v>
      </c>
      <c r="I9" s="5" t="n">
        <f aca="false">H9/728</f>
        <v>0.961538461538462</v>
      </c>
    </row>
    <row r="10" customFormat="false" ht="15" hidden="false" customHeight="false" outlineLevel="0" collapsed="false">
      <c r="A10" s="6" t="s">
        <v>71</v>
      </c>
      <c r="B10" s="6" t="n">
        <v>249800</v>
      </c>
      <c r="C10" s="6"/>
      <c r="D10" s="6" t="n">
        <v>271500</v>
      </c>
      <c r="E10" s="6"/>
      <c r="F10" s="6" t="n">
        <v>293900</v>
      </c>
      <c r="G10" s="7" t="n">
        <v>0.281</v>
      </c>
      <c r="H10" s="6" t="n">
        <v>82708</v>
      </c>
      <c r="I10" s="8" t="n">
        <f aca="false">H10/728</f>
        <v>113.60989010989</v>
      </c>
    </row>
    <row r="11" customFormat="false" ht="15" hidden="false" customHeight="false" outlineLevel="0" collapsed="false">
      <c r="A11" s="6" t="s">
        <v>72</v>
      </c>
      <c r="B11" s="6" t="n">
        <v>904500</v>
      </c>
      <c r="C11" s="6"/>
      <c r="D11" s="6" t="n">
        <v>991300</v>
      </c>
      <c r="E11" s="6"/>
      <c r="F11" s="6" t="n">
        <v>991300</v>
      </c>
      <c r="G11" s="7" t="n">
        <v>0.045</v>
      </c>
      <c r="H11" s="6" t="n">
        <v>45011</v>
      </c>
      <c r="I11" s="8" t="n">
        <f aca="false">H11/728</f>
        <v>61.8282967032967</v>
      </c>
    </row>
    <row r="12" customFormat="false" ht="15" hidden="false" customHeight="false" outlineLevel="0" collapsed="false">
      <c r="A12" s="6" t="s">
        <v>73</v>
      </c>
      <c r="B12" s="6" t="n">
        <v>1107200</v>
      </c>
      <c r="C12" s="6"/>
      <c r="D12" s="6" t="n">
        <v>1206800</v>
      </c>
      <c r="E12" s="6"/>
      <c r="F12" s="6" t="n">
        <v>1206800</v>
      </c>
      <c r="G12" s="7" t="n">
        <v>0.002</v>
      </c>
      <c r="H12" s="6" t="n">
        <v>2628</v>
      </c>
      <c r="I12" s="8" t="n">
        <f aca="false">H12/728</f>
        <v>3.60989010989011</v>
      </c>
    </row>
    <row r="13" customFormat="false" ht="15" hidden="false" customHeight="false" outlineLevel="0" collapsed="false">
      <c r="A13" s="6" t="s">
        <v>74</v>
      </c>
      <c r="B13" s="6" t="n">
        <v>2261500</v>
      </c>
      <c r="C13" s="6"/>
      <c r="D13" s="6" t="n">
        <v>2469700</v>
      </c>
      <c r="E13" s="6"/>
      <c r="F13" s="6" t="n">
        <v>2492100</v>
      </c>
      <c r="G13" s="7" t="n">
        <v>0.052</v>
      </c>
      <c r="H13" s="6" t="n">
        <v>130346</v>
      </c>
      <c r="I13" s="8" t="n">
        <f aca="false">H13/728</f>
        <v>179.046703296703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26.85" hidden="false" customHeight="false" outlineLevel="0" collapsed="false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62</v>
      </c>
    </row>
    <row r="2" customFormat="false" ht="15" hidden="false" customHeight="false" outlineLevel="0" collapsed="false">
      <c r="A2" s="0" t="n">
        <v>1</v>
      </c>
      <c r="B2" s="0" t="s">
        <v>82</v>
      </c>
      <c r="C2" s="0" t="s">
        <v>83</v>
      </c>
      <c r="D2" s="0" t="s">
        <v>84</v>
      </c>
      <c r="E2" s="0" t="n">
        <v>140521</v>
      </c>
      <c r="F2" s="4" t="n">
        <f aca="false">IF(E2=0,0,G2/E2)</f>
        <v>0.0300026330584041</v>
      </c>
      <c r="G2" s="0" t="n">
        <v>4216</v>
      </c>
      <c r="H2" s="5" t="n">
        <f aca="false">G2/728</f>
        <v>5.79120879120879</v>
      </c>
    </row>
    <row r="3" customFormat="false" ht="15" hidden="false" customHeight="false" outlineLevel="0" collapsed="false">
      <c r="A3" s="0" t="n">
        <v>2</v>
      </c>
      <c r="B3" s="0" t="s">
        <v>85</v>
      </c>
      <c r="C3" s="0" t="s">
        <v>86</v>
      </c>
      <c r="D3" s="0" t="s">
        <v>87</v>
      </c>
      <c r="E3" s="0" t="n">
        <v>28174</v>
      </c>
      <c r="F3" s="4" t="n">
        <f aca="false">IF(E3=0,0,G3/E3)</f>
        <v>0.0900120678639881</v>
      </c>
      <c r="G3" s="0" t="n">
        <v>2536</v>
      </c>
      <c r="H3" s="5" t="n">
        <f aca="false">G3/728</f>
        <v>3.48351648351648</v>
      </c>
    </row>
    <row r="4" customFormat="false" ht="15" hidden="false" customHeight="false" outlineLevel="0" collapsed="false">
      <c r="A4" s="0" t="n">
        <v>3</v>
      </c>
      <c r="B4" s="0" t="s">
        <v>88</v>
      </c>
      <c r="C4" s="0" t="s">
        <v>89</v>
      </c>
      <c r="D4" s="0" t="s">
        <v>90</v>
      </c>
      <c r="E4" s="0" t="n">
        <v>43810</v>
      </c>
      <c r="F4" s="4" t="n">
        <f aca="false">IF(E4=0,0,G4/E4)</f>
        <v>0.0540059347181009</v>
      </c>
      <c r="G4" s="0" t="n">
        <v>2366</v>
      </c>
      <c r="H4" s="5" t="n">
        <f aca="false">G4/728</f>
        <v>3.25</v>
      </c>
    </row>
    <row r="5" customFormat="false" ht="15" hidden="false" customHeight="false" outlineLevel="0" collapsed="false">
      <c r="A5" s="0" t="n">
        <v>4</v>
      </c>
      <c r="B5" s="0" t="s">
        <v>91</v>
      </c>
      <c r="C5" s="0" t="s">
        <v>92</v>
      </c>
      <c r="D5" s="0" t="s">
        <v>93</v>
      </c>
      <c r="E5" s="0" t="n">
        <v>5893</v>
      </c>
      <c r="F5" s="4" t="n">
        <f aca="false">IF(E5=0,0,G5/E5)</f>
        <v>0.375360597318853</v>
      </c>
      <c r="G5" s="0" t="n">
        <v>2212</v>
      </c>
      <c r="H5" s="5" t="n">
        <f aca="false">G5/728</f>
        <v>3.03846153846154</v>
      </c>
    </row>
    <row r="6" customFormat="false" ht="15" hidden="false" customHeight="false" outlineLevel="0" collapsed="false">
      <c r="A6" s="0" t="n">
        <v>5</v>
      </c>
      <c r="B6" s="0" t="s">
        <v>94</v>
      </c>
      <c r="C6" s="0" t="s">
        <v>95</v>
      </c>
      <c r="D6" s="0" t="s">
        <v>90</v>
      </c>
      <c r="E6" s="0" t="n">
        <v>100810</v>
      </c>
      <c r="F6" s="4" t="n">
        <f aca="false">IF(E6=0,0,G6/E6)</f>
        <v>0.0199980160698343</v>
      </c>
      <c r="G6" s="0" t="n">
        <v>2016</v>
      </c>
      <c r="H6" s="5" t="n">
        <f aca="false">G6/728</f>
        <v>2.76923076923077</v>
      </c>
    </row>
    <row r="7" customFormat="false" ht="15" hidden="false" customHeight="false" outlineLevel="0" collapsed="false">
      <c r="A7" s="0" t="n">
        <v>6</v>
      </c>
      <c r="B7" s="0" t="s">
        <v>96</v>
      </c>
      <c r="C7" s="0" t="s">
        <v>97</v>
      </c>
      <c r="D7" s="0" t="s">
        <v>90</v>
      </c>
      <c r="E7" s="0" t="n">
        <v>13088</v>
      </c>
      <c r="F7" s="4" t="n">
        <f aca="false">IF(E7=0,0,G7/E7)</f>
        <v>0.136995721271394</v>
      </c>
      <c r="G7" s="0" t="n">
        <v>1793</v>
      </c>
      <c r="H7" s="5" t="n">
        <f aca="false">G7/728</f>
        <v>2.46291208791209</v>
      </c>
    </row>
    <row r="8" customFormat="false" ht="15" hidden="false" customHeight="false" outlineLevel="0" collapsed="false">
      <c r="A8" s="0" t="n">
        <v>7</v>
      </c>
      <c r="B8" s="0" t="s">
        <v>98</v>
      </c>
      <c r="C8" s="0" t="s">
        <v>99</v>
      </c>
      <c r="D8" s="0" t="s">
        <v>100</v>
      </c>
      <c r="E8" s="0" t="n">
        <v>60675</v>
      </c>
      <c r="F8" s="4" t="n">
        <f aca="false">IF(E8=0,0,G8/E8)</f>
        <v>0.0291223733003708</v>
      </c>
      <c r="G8" s="0" t="n">
        <v>1767</v>
      </c>
      <c r="H8" s="5" t="n">
        <f aca="false">G8/728</f>
        <v>2.4271978021978</v>
      </c>
    </row>
    <row r="9" customFormat="false" ht="15" hidden="false" customHeight="false" outlineLevel="0" collapsed="false">
      <c r="A9" s="0" t="n">
        <v>8</v>
      </c>
      <c r="B9" s="0" t="s">
        <v>101</v>
      </c>
      <c r="C9" s="0" t="s">
        <v>102</v>
      </c>
      <c r="D9" s="0" t="s">
        <v>103</v>
      </c>
      <c r="E9" s="0" t="n">
        <v>25155</v>
      </c>
      <c r="F9" s="4" t="n">
        <f aca="false">IF(E9=0,0,G9/E9)</f>
        <v>0.0618167362353409</v>
      </c>
      <c r="G9" s="0" t="n">
        <v>1555</v>
      </c>
      <c r="H9" s="5" t="n">
        <f aca="false">G9/728</f>
        <v>2.13598901098901</v>
      </c>
    </row>
    <row r="10" customFormat="false" ht="15" hidden="false" customHeight="false" outlineLevel="0" collapsed="false">
      <c r="A10" s="0" t="n">
        <v>9</v>
      </c>
      <c r="B10" s="0" t="s">
        <v>104</v>
      </c>
      <c r="C10" s="0" t="s">
        <v>105</v>
      </c>
      <c r="D10" s="0" t="s">
        <v>106</v>
      </c>
      <c r="E10" s="0" t="n">
        <v>12128</v>
      </c>
      <c r="F10" s="4" t="n">
        <f aca="false">IF(E10=0,0,G10/E10)</f>
        <v>0.126236807387863</v>
      </c>
      <c r="G10" s="0" t="n">
        <v>1531</v>
      </c>
      <c r="H10" s="5" t="n">
        <f aca="false">G10/728</f>
        <v>2.10302197802198</v>
      </c>
    </row>
    <row r="11" customFormat="false" ht="15" hidden="false" customHeight="false" outlineLevel="0" collapsed="false">
      <c r="A11" s="0" t="n">
        <v>10</v>
      </c>
      <c r="B11" s="0" t="s">
        <v>107</v>
      </c>
      <c r="C11" s="0" t="s">
        <v>108</v>
      </c>
      <c r="D11" s="0" t="s">
        <v>109</v>
      </c>
      <c r="E11" s="0" t="n">
        <v>6606</v>
      </c>
      <c r="F11" s="4" t="n">
        <f aca="false">IF(E11=0,0,G11/E11)</f>
        <v>0.195882531032395</v>
      </c>
      <c r="G11" s="0" t="n">
        <v>1294</v>
      </c>
      <c r="H11" s="5" t="n">
        <f aca="false">G11/728</f>
        <v>1.77747252747253</v>
      </c>
    </row>
    <row r="12" customFormat="false" ht="15" hidden="false" customHeight="false" outlineLevel="0" collapsed="false">
      <c r="A12" s="0" t="n">
        <v>11</v>
      </c>
      <c r="B12" s="0" t="s">
        <v>110</v>
      </c>
      <c r="C12" s="0" t="s">
        <v>111</v>
      </c>
      <c r="D12" s="0" t="s">
        <v>112</v>
      </c>
      <c r="E12" s="0" t="n">
        <v>5501</v>
      </c>
      <c r="F12" s="4" t="n">
        <f aca="false">IF(E12=0,0,G12/E12)</f>
        <v>0.23522995818942</v>
      </c>
      <c r="G12" s="0" t="n">
        <v>1294</v>
      </c>
      <c r="H12" s="5" t="n">
        <f aca="false">G12/728</f>
        <v>1.77747252747253</v>
      </c>
    </row>
    <row r="13" customFormat="false" ht="15" hidden="false" customHeight="false" outlineLevel="0" collapsed="false">
      <c r="A13" s="0" t="n">
        <v>12</v>
      </c>
      <c r="B13" s="0" t="s">
        <v>113</v>
      </c>
      <c r="C13" s="0" t="s">
        <v>114</v>
      </c>
      <c r="D13" s="0" t="s">
        <v>115</v>
      </c>
      <c r="E13" s="0" t="n">
        <v>19567</v>
      </c>
      <c r="F13" s="4" t="n">
        <f aca="false">IF(E13=0,0,G13/E13)</f>
        <v>0.0653140491644095</v>
      </c>
      <c r="G13" s="0" t="n">
        <v>1278</v>
      </c>
      <c r="H13" s="5" t="n">
        <f aca="false">G13/728</f>
        <v>1.75549450549451</v>
      </c>
    </row>
    <row r="14" customFormat="false" ht="15" hidden="false" customHeight="false" outlineLevel="0" collapsed="false">
      <c r="A14" s="0" t="n">
        <v>13</v>
      </c>
      <c r="B14" s="0" t="s">
        <v>116</v>
      </c>
      <c r="C14" s="0" t="s">
        <v>117</v>
      </c>
      <c r="D14" s="0" t="s">
        <v>90</v>
      </c>
      <c r="E14" s="0" t="n">
        <v>18020</v>
      </c>
      <c r="F14" s="4" t="n">
        <f aca="false">IF(E14=0,0,G14/E14)</f>
        <v>0.0704217536071032</v>
      </c>
      <c r="G14" s="0" t="n">
        <v>1269</v>
      </c>
      <c r="H14" s="5" t="n">
        <f aca="false">G14/728</f>
        <v>1.74313186813187</v>
      </c>
    </row>
    <row r="15" customFormat="false" ht="15" hidden="false" customHeight="false" outlineLevel="0" collapsed="false">
      <c r="A15" s="0" t="n">
        <v>14</v>
      </c>
      <c r="B15" s="0" t="s">
        <v>118</v>
      </c>
      <c r="C15" s="0" t="s">
        <v>119</v>
      </c>
      <c r="D15" s="0" t="s">
        <v>120</v>
      </c>
      <c r="E15" s="0" t="n">
        <v>4028</v>
      </c>
      <c r="F15" s="4" t="n">
        <f aca="false">IF(E15=0,0,G15/E15)</f>
        <v>0.302631578947368</v>
      </c>
      <c r="G15" s="0" t="n">
        <v>1219</v>
      </c>
      <c r="H15" s="5" t="n">
        <f aca="false">G15/728</f>
        <v>1.67445054945055</v>
      </c>
    </row>
    <row r="16" customFormat="false" ht="15" hidden="false" customHeight="false" outlineLevel="0" collapsed="false">
      <c r="A16" s="0" t="n">
        <v>15</v>
      </c>
      <c r="B16" s="0" t="s">
        <v>121</v>
      </c>
      <c r="C16" s="0" t="s">
        <v>122</v>
      </c>
      <c r="D16" s="0" t="s">
        <v>123</v>
      </c>
      <c r="E16" s="0" t="n">
        <v>32449</v>
      </c>
      <c r="F16" s="4" t="n">
        <f aca="false">IF(E16=0,0,G16/E16)</f>
        <v>0.0361490338685322</v>
      </c>
      <c r="G16" s="0" t="n">
        <v>1173</v>
      </c>
      <c r="H16" s="5" t="n">
        <f aca="false">G16/728</f>
        <v>1.61126373626374</v>
      </c>
    </row>
    <row r="17" customFormat="false" ht="15" hidden="false" customHeight="false" outlineLevel="0" collapsed="false">
      <c r="A17" s="0" t="n">
        <v>16</v>
      </c>
      <c r="B17" s="0" t="s">
        <v>124</v>
      </c>
      <c r="C17" s="0" t="s">
        <v>125</v>
      </c>
      <c r="D17" s="0" t="s">
        <v>126</v>
      </c>
      <c r="E17" s="0" t="n">
        <v>22072</v>
      </c>
      <c r="F17" s="4" t="n">
        <f aca="false">IF(E17=0,0,G17/E17)</f>
        <v>0.052328742297934</v>
      </c>
      <c r="G17" s="0" t="n">
        <v>1155</v>
      </c>
      <c r="H17" s="5" t="n">
        <f aca="false">G17/728</f>
        <v>1.58653846153846</v>
      </c>
    </row>
    <row r="18" customFormat="false" ht="15" hidden="false" customHeight="false" outlineLevel="0" collapsed="false">
      <c r="A18" s="0" t="n">
        <v>17</v>
      </c>
      <c r="B18" s="0" t="s">
        <v>127</v>
      </c>
      <c r="C18" s="0" t="s">
        <v>128</v>
      </c>
      <c r="D18" s="0" t="s">
        <v>129</v>
      </c>
      <c r="E18" s="0" t="n">
        <v>45892</v>
      </c>
      <c r="F18" s="4" t="n">
        <f aca="false">IF(E18=0,0,G18/E18)</f>
        <v>0.023424562015166</v>
      </c>
      <c r="G18" s="0" t="n">
        <v>1075</v>
      </c>
      <c r="H18" s="5" t="n">
        <f aca="false">G18/728</f>
        <v>1.47664835164835</v>
      </c>
    </row>
    <row r="19" customFormat="false" ht="15" hidden="false" customHeight="false" outlineLevel="0" collapsed="false">
      <c r="A19" s="0" t="n">
        <v>18</v>
      </c>
      <c r="B19" s="0" t="s">
        <v>130</v>
      </c>
      <c r="C19" s="0" t="s">
        <v>131</v>
      </c>
      <c r="D19" s="0" t="s">
        <v>106</v>
      </c>
      <c r="E19" s="0" t="n">
        <v>36924</v>
      </c>
      <c r="F19" s="4" t="n">
        <f aca="false">IF(E19=0,0,G19/E19)</f>
        <v>0.0286263676741415</v>
      </c>
      <c r="G19" s="0" t="n">
        <v>1057</v>
      </c>
      <c r="H19" s="5" t="n">
        <f aca="false">G19/728</f>
        <v>1.45192307692308</v>
      </c>
    </row>
    <row r="20" customFormat="false" ht="15" hidden="false" customHeight="false" outlineLevel="0" collapsed="false">
      <c r="A20" s="0" t="n">
        <v>19</v>
      </c>
      <c r="B20" s="0" t="s">
        <v>132</v>
      </c>
      <c r="C20" s="0" t="s">
        <v>133</v>
      </c>
      <c r="D20" s="0" t="s">
        <v>87</v>
      </c>
      <c r="E20" s="0" t="n">
        <v>3037</v>
      </c>
      <c r="F20" s="4" t="n">
        <f aca="false">IF(E20=0,0,G20/E20)</f>
        <v>0.306223246624959</v>
      </c>
      <c r="G20" s="0" t="n">
        <v>930</v>
      </c>
      <c r="H20" s="5" t="n">
        <f aca="false">G20/728</f>
        <v>1.27747252747253</v>
      </c>
    </row>
    <row r="21" customFormat="false" ht="15" hidden="false" customHeight="false" outlineLevel="0" collapsed="false">
      <c r="A21" s="0" t="n">
        <v>20</v>
      </c>
      <c r="B21" s="0" t="s">
        <v>134</v>
      </c>
      <c r="C21" s="0" t="s">
        <v>135</v>
      </c>
      <c r="D21" s="0" t="s">
        <v>136</v>
      </c>
      <c r="E21" s="0" t="n">
        <v>5336</v>
      </c>
      <c r="F21" s="4" t="n">
        <f aca="false">IF(E21=0,0,G21/E21)</f>
        <v>0.152736131934033</v>
      </c>
      <c r="G21" s="0" t="n">
        <v>815</v>
      </c>
      <c r="H21" s="5" t="n">
        <f aca="false">G21/728</f>
        <v>1.11950549450549</v>
      </c>
    </row>
    <row r="22" customFormat="false" ht="15" hidden="false" customHeight="false" outlineLevel="0" collapsed="false">
      <c r="A22" s="0" t="n">
        <v>21</v>
      </c>
      <c r="B22" s="0" t="s">
        <v>137</v>
      </c>
      <c r="C22" s="0" t="s">
        <v>138</v>
      </c>
      <c r="D22" s="0" t="s">
        <v>120</v>
      </c>
      <c r="E22" s="0" t="n">
        <v>5944</v>
      </c>
      <c r="F22" s="4" t="n">
        <f aca="false">IF(E22=0,0,G22/E22)</f>
        <v>0.129205921938089</v>
      </c>
      <c r="G22" s="0" t="n">
        <v>768</v>
      </c>
      <c r="H22" s="5" t="n">
        <f aca="false">G22/728</f>
        <v>1.05494505494506</v>
      </c>
    </row>
    <row r="23" customFormat="false" ht="15" hidden="false" customHeight="false" outlineLevel="0" collapsed="false">
      <c r="A23" s="0" t="n">
        <v>22</v>
      </c>
      <c r="B23" s="0" t="s">
        <v>139</v>
      </c>
      <c r="C23" s="0" t="s">
        <v>140</v>
      </c>
      <c r="D23" s="0" t="s">
        <v>141</v>
      </c>
      <c r="E23" s="0" t="n">
        <v>9265</v>
      </c>
      <c r="F23" s="4" t="n">
        <f aca="false">IF(E23=0,0,G23/E23)</f>
        <v>0.0803022126281705</v>
      </c>
      <c r="G23" s="0" t="n">
        <v>744</v>
      </c>
      <c r="H23" s="5" t="n">
        <f aca="false">G23/728</f>
        <v>1.02197802197802</v>
      </c>
    </row>
    <row r="24" customFormat="false" ht="15" hidden="false" customHeight="false" outlineLevel="0" collapsed="false">
      <c r="A24" s="0" t="n">
        <v>23</v>
      </c>
      <c r="B24" s="0" t="s">
        <v>142</v>
      </c>
      <c r="C24" s="0" t="s">
        <v>143</v>
      </c>
      <c r="D24" s="0" t="s">
        <v>115</v>
      </c>
      <c r="E24" s="0" t="n">
        <v>27549</v>
      </c>
      <c r="F24" s="4" t="n">
        <f aca="false">IF(E24=0,0,G24/E24)</f>
        <v>0.0259537551272279</v>
      </c>
      <c r="G24" s="0" t="n">
        <v>715</v>
      </c>
      <c r="H24" s="5" t="n">
        <f aca="false">G24/728</f>
        <v>0.982142857142857</v>
      </c>
    </row>
    <row r="25" customFormat="false" ht="15" hidden="false" customHeight="false" outlineLevel="0" collapsed="false">
      <c r="A25" s="0" t="n">
        <v>24</v>
      </c>
      <c r="B25" s="0" t="s">
        <v>144</v>
      </c>
      <c r="C25" s="0" t="s">
        <v>145</v>
      </c>
      <c r="D25" s="0" t="s">
        <v>146</v>
      </c>
      <c r="E25" s="0" t="n">
        <v>14304</v>
      </c>
      <c r="F25" s="4" t="n">
        <f aca="false">IF(E25=0,0,G25/E25)</f>
        <v>0.0487276286353468</v>
      </c>
      <c r="G25" s="0" t="n">
        <v>697</v>
      </c>
      <c r="H25" s="5" t="n">
        <f aca="false">G25/728</f>
        <v>0.957417582417583</v>
      </c>
    </row>
    <row r="26" customFormat="false" ht="15" hidden="false" customHeight="false" outlineLevel="0" collapsed="false">
      <c r="A26" s="0" t="n">
        <v>25</v>
      </c>
      <c r="B26" s="0" t="s">
        <v>147</v>
      </c>
      <c r="C26" s="0" t="s">
        <v>148</v>
      </c>
      <c r="D26" s="0" t="s">
        <v>149</v>
      </c>
      <c r="E26" s="0" t="n">
        <v>8455</v>
      </c>
      <c r="F26" s="4" t="n">
        <f aca="false">IF(E26=0,0,G26/E26)</f>
        <v>0.0681253696037848</v>
      </c>
      <c r="G26" s="0" t="n">
        <v>576</v>
      </c>
      <c r="H26" s="5" t="n">
        <f aca="false">G26/728</f>
        <v>0.791208791208791</v>
      </c>
    </row>
    <row r="27" customFormat="false" ht="15" hidden="false" customHeight="false" outlineLevel="0" collapsed="false">
      <c r="A27" s="0" t="n">
        <v>26</v>
      </c>
      <c r="B27" s="0" t="s">
        <v>150</v>
      </c>
      <c r="C27" s="0" t="s">
        <v>151</v>
      </c>
      <c r="D27" s="0" t="s">
        <v>126</v>
      </c>
      <c r="E27" s="0" t="n">
        <v>19730</v>
      </c>
      <c r="F27" s="4" t="n">
        <f aca="false">IF(E27=0,0,G27/E27)</f>
        <v>0.0291941206284845</v>
      </c>
      <c r="G27" s="0" t="n">
        <v>576</v>
      </c>
      <c r="H27" s="5" t="n">
        <f aca="false">G27/728</f>
        <v>0.791208791208791</v>
      </c>
    </row>
    <row r="28" customFormat="false" ht="15" hidden="false" customHeight="false" outlineLevel="0" collapsed="false">
      <c r="A28" s="0" t="n">
        <v>27</v>
      </c>
      <c r="B28" s="0" t="s">
        <v>152</v>
      </c>
      <c r="C28" s="0" t="s">
        <v>153</v>
      </c>
      <c r="D28" s="0" t="s">
        <v>84</v>
      </c>
      <c r="E28" s="0" t="n">
        <v>10060</v>
      </c>
      <c r="F28" s="4" t="n">
        <f aca="false">IF(E28=0,0,G28/E28)</f>
        <v>0.0565606361829026</v>
      </c>
      <c r="G28" s="0" t="n">
        <v>569</v>
      </c>
      <c r="H28" s="5" t="n">
        <f aca="false">G28/728</f>
        <v>0.781593406593407</v>
      </c>
    </row>
    <row r="29" customFormat="false" ht="15" hidden="false" customHeight="false" outlineLevel="0" collapsed="false">
      <c r="A29" s="0" t="n">
        <v>28</v>
      </c>
      <c r="B29" s="0" t="s">
        <v>154</v>
      </c>
      <c r="C29" s="0" t="s">
        <v>155</v>
      </c>
      <c r="D29" s="0" t="s">
        <v>156</v>
      </c>
      <c r="E29" s="0" t="n">
        <v>13038</v>
      </c>
      <c r="F29" s="4" t="n">
        <f aca="false">IF(E29=0,0,G29/E29)</f>
        <v>0.0427212762693665</v>
      </c>
      <c r="G29" s="0" t="n">
        <v>557</v>
      </c>
      <c r="H29" s="5" t="n">
        <f aca="false">G29/728</f>
        <v>0.76510989010989</v>
      </c>
    </row>
    <row r="30" customFormat="false" ht="15" hidden="false" customHeight="false" outlineLevel="0" collapsed="false">
      <c r="A30" s="0" t="n">
        <v>29</v>
      </c>
      <c r="B30" s="0" t="s">
        <v>157</v>
      </c>
      <c r="C30" s="0" t="s">
        <v>158</v>
      </c>
      <c r="D30" s="0" t="s">
        <v>120</v>
      </c>
      <c r="E30" s="0" t="n">
        <v>13139</v>
      </c>
      <c r="F30" s="4" t="n">
        <f aca="false">IF(E30=0,0,G30/E30)</f>
        <v>0.0420884389984017</v>
      </c>
      <c r="G30" s="0" t="n">
        <v>553</v>
      </c>
      <c r="H30" s="5" t="n">
        <f aca="false">G30/728</f>
        <v>0.759615384615385</v>
      </c>
    </row>
    <row r="31" customFormat="false" ht="15" hidden="false" customHeight="false" outlineLevel="0" collapsed="false">
      <c r="A31" s="0" t="n">
        <v>30</v>
      </c>
      <c r="B31" s="0" t="s">
        <v>159</v>
      </c>
      <c r="C31" s="0" t="s">
        <v>160</v>
      </c>
      <c r="D31" s="0" t="s">
        <v>161</v>
      </c>
      <c r="E31" s="0" t="n">
        <v>16663</v>
      </c>
      <c r="F31" s="4" t="n">
        <f aca="false">IF(E31=0,0,G31/E31)</f>
        <v>0.0309668126987937</v>
      </c>
      <c r="G31" s="0" t="n">
        <v>516</v>
      </c>
      <c r="H31" s="5" t="n">
        <f aca="false">G31/728</f>
        <v>0.708791208791209</v>
      </c>
    </row>
    <row r="32" customFormat="false" ht="15" hidden="false" customHeight="false" outlineLevel="0" collapsed="false">
      <c r="A32" s="0" t="n">
        <v>31</v>
      </c>
      <c r="B32" s="0" t="s">
        <v>162</v>
      </c>
      <c r="C32" s="0" t="s">
        <v>163</v>
      </c>
      <c r="D32" s="0" t="s">
        <v>93</v>
      </c>
      <c r="E32" s="0" t="n">
        <v>9752</v>
      </c>
      <c r="F32" s="4" t="n">
        <f aca="false">IF(E32=0,0,G32/E32)</f>
        <v>0.0441960623461854</v>
      </c>
      <c r="G32" s="0" t="n">
        <v>431</v>
      </c>
      <c r="H32" s="5" t="n">
        <f aca="false">G32/728</f>
        <v>0.592032967032967</v>
      </c>
    </row>
    <row r="33" customFormat="false" ht="15" hidden="false" customHeight="false" outlineLevel="0" collapsed="false">
      <c r="A33" s="0" t="n">
        <v>32</v>
      </c>
      <c r="B33" s="0" t="s">
        <v>164</v>
      </c>
      <c r="C33" s="0" t="s">
        <v>165</v>
      </c>
      <c r="D33" s="0" t="s">
        <v>84</v>
      </c>
      <c r="E33" s="0" t="n">
        <v>6575</v>
      </c>
      <c r="F33" s="4" t="n">
        <f aca="false">IF(E33=0,0,G33/E33)</f>
        <v>0.0649429657794677</v>
      </c>
      <c r="G33" s="0" t="n">
        <v>427</v>
      </c>
      <c r="H33" s="5" t="n">
        <f aca="false">G33/728</f>
        <v>0.586538461538462</v>
      </c>
    </row>
    <row r="34" customFormat="false" ht="15" hidden="false" customHeight="false" outlineLevel="0" collapsed="false">
      <c r="A34" s="0" t="n">
        <v>33</v>
      </c>
      <c r="B34" s="0" t="s">
        <v>166</v>
      </c>
      <c r="C34" s="0" t="s">
        <v>167</v>
      </c>
      <c r="D34" s="0" t="s">
        <v>84</v>
      </c>
      <c r="E34" s="0" t="n">
        <v>7306</v>
      </c>
      <c r="F34" s="4" t="n">
        <f aca="false">IF(E34=0,0,G34/E34)</f>
        <v>0.0572132493840679</v>
      </c>
      <c r="G34" s="0" t="n">
        <v>418</v>
      </c>
      <c r="H34" s="5" t="n">
        <f aca="false">G34/728</f>
        <v>0.574175824175824</v>
      </c>
    </row>
    <row r="35" customFormat="false" ht="15" hidden="false" customHeight="false" outlineLevel="0" collapsed="false">
      <c r="A35" s="0" t="n">
        <v>34</v>
      </c>
      <c r="B35" s="0" t="s">
        <v>168</v>
      </c>
      <c r="C35" s="0" t="s">
        <v>169</v>
      </c>
      <c r="D35" s="0" t="s">
        <v>90</v>
      </c>
      <c r="E35" s="0" t="n">
        <v>12265</v>
      </c>
      <c r="F35" s="4" t="n">
        <f aca="false">IF(E35=0,0,G35/E35)</f>
        <v>0.0313086017121892</v>
      </c>
      <c r="G35" s="0" t="n">
        <v>384</v>
      </c>
      <c r="H35" s="5" t="n">
        <f aca="false">G35/728</f>
        <v>0.527472527472528</v>
      </c>
    </row>
    <row r="36" customFormat="false" ht="15" hidden="false" customHeight="false" outlineLevel="0" collapsed="false">
      <c r="A36" s="0" t="n">
        <v>35</v>
      </c>
      <c r="B36" s="0" t="s">
        <v>170</v>
      </c>
      <c r="C36" s="0" t="s">
        <v>171</v>
      </c>
      <c r="D36" s="0" t="s">
        <v>172</v>
      </c>
      <c r="E36" s="0" t="n">
        <v>15646</v>
      </c>
      <c r="F36" s="4" t="n">
        <f aca="false">IF(E36=0,0,G36/E36)</f>
        <v>0.0227534194043206</v>
      </c>
      <c r="G36" s="0" t="n">
        <v>356</v>
      </c>
      <c r="H36" s="5" t="n">
        <f aca="false">G36/728</f>
        <v>0.489010989010989</v>
      </c>
    </row>
    <row r="37" customFormat="false" ht="15" hidden="false" customHeight="false" outlineLevel="0" collapsed="false">
      <c r="A37" s="0" t="n">
        <v>36</v>
      </c>
      <c r="B37" s="0" t="s">
        <v>173</v>
      </c>
      <c r="C37" s="0" t="s">
        <v>174</v>
      </c>
      <c r="D37" s="0" t="s">
        <v>175</v>
      </c>
      <c r="E37" s="0" t="n">
        <v>8959</v>
      </c>
      <c r="F37" s="4" t="n">
        <f aca="false">IF(E37=0,0,G37/E37)</f>
        <v>0.0362763701305949</v>
      </c>
      <c r="G37" s="0" t="n">
        <v>325</v>
      </c>
      <c r="H37" s="5" t="n">
        <f aca="false">G37/728</f>
        <v>0.446428571428571</v>
      </c>
    </row>
    <row r="38" customFormat="false" ht="15" hidden="false" customHeight="false" outlineLevel="0" collapsed="false">
      <c r="A38" s="0" t="n">
        <v>37</v>
      </c>
      <c r="B38" s="0" t="s">
        <v>176</v>
      </c>
      <c r="C38" s="0" t="s">
        <v>177</v>
      </c>
      <c r="D38" s="0" t="s">
        <v>178</v>
      </c>
      <c r="E38" s="0" t="n">
        <v>7547</v>
      </c>
      <c r="F38" s="4" t="n">
        <f aca="false">IF(E38=0,0,G38/E38)</f>
        <v>0.0429309659467338</v>
      </c>
      <c r="G38" s="0" t="n">
        <v>324</v>
      </c>
      <c r="H38" s="5" t="n">
        <f aca="false">G38/728</f>
        <v>0.445054945054945</v>
      </c>
    </row>
    <row r="39" customFormat="false" ht="15" hidden="false" customHeight="false" outlineLevel="0" collapsed="false">
      <c r="A39" s="0" t="n">
        <v>38</v>
      </c>
      <c r="B39" s="0" t="s">
        <v>179</v>
      </c>
      <c r="C39" s="0" t="s">
        <v>180</v>
      </c>
      <c r="D39" s="0" t="s">
        <v>120</v>
      </c>
      <c r="E39" s="0" t="n">
        <v>1587</v>
      </c>
      <c r="F39" s="4" t="n">
        <f aca="false">IF(E39=0,0,G39/E39)</f>
        <v>0.194076874606175</v>
      </c>
      <c r="G39" s="0" t="n">
        <v>308</v>
      </c>
      <c r="H39" s="5" t="n">
        <f aca="false">G39/728</f>
        <v>0.423076923076923</v>
      </c>
    </row>
    <row r="40" customFormat="false" ht="15" hidden="false" customHeight="false" outlineLevel="0" collapsed="false">
      <c r="A40" s="0" t="n">
        <v>39</v>
      </c>
      <c r="B40" s="0" t="s">
        <v>181</v>
      </c>
      <c r="C40" s="0" t="s">
        <v>182</v>
      </c>
      <c r="D40" s="0" t="s">
        <v>115</v>
      </c>
      <c r="E40" s="0" t="n">
        <v>10673</v>
      </c>
      <c r="F40" s="4" t="n">
        <f aca="false">IF(E40=0,0,G40/E40)</f>
        <v>0.0277335332146538</v>
      </c>
      <c r="G40" s="0" t="n">
        <v>296</v>
      </c>
      <c r="H40" s="5" t="n">
        <f aca="false">G40/728</f>
        <v>0.406593406593407</v>
      </c>
    </row>
    <row r="41" customFormat="false" ht="15" hidden="false" customHeight="false" outlineLevel="0" collapsed="false">
      <c r="A41" s="0" t="n">
        <v>40</v>
      </c>
      <c r="B41" s="0" t="s">
        <v>183</v>
      </c>
      <c r="C41" s="0" t="s">
        <v>184</v>
      </c>
      <c r="D41" s="0" t="s">
        <v>90</v>
      </c>
      <c r="E41" s="0" t="n">
        <v>4183</v>
      </c>
      <c r="F41" s="4" t="n">
        <f aca="false">IF(E41=0,0,G41/E41)</f>
        <v>0.0590485297633278</v>
      </c>
      <c r="G41" s="0" t="n">
        <v>247</v>
      </c>
      <c r="H41" s="5" t="n">
        <f aca="false">G41/728</f>
        <v>0.339285714285714</v>
      </c>
    </row>
    <row r="42" customFormat="false" ht="15" hidden="false" customHeight="false" outlineLevel="0" collapsed="false">
      <c r="A42" s="0" t="n">
        <v>41</v>
      </c>
      <c r="B42" s="0" t="s">
        <v>185</v>
      </c>
      <c r="C42" s="0" t="s">
        <v>186</v>
      </c>
      <c r="D42" s="0" t="s">
        <v>187</v>
      </c>
      <c r="E42" s="0" t="n">
        <v>546</v>
      </c>
      <c r="F42" s="4" t="n">
        <f aca="false">IF(E42=0,0,G42/E42)</f>
        <v>0.434065934065934</v>
      </c>
      <c r="G42" s="0" t="n">
        <v>237</v>
      </c>
      <c r="H42" s="5" t="n">
        <f aca="false">G42/728</f>
        <v>0.325549450549451</v>
      </c>
    </row>
    <row r="43" customFormat="false" ht="15" hidden="false" customHeight="false" outlineLevel="0" collapsed="false">
      <c r="A43" s="0" t="n">
        <v>42</v>
      </c>
      <c r="B43" s="0" t="s">
        <v>188</v>
      </c>
      <c r="C43" s="0" t="s">
        <v>189</v>
      </c>
      <c r="D43" s="0" t="s">
        <v>87</v>
      </c>
      <c r="E43" s="0" t="n">
        <v>4740</v>
      </c>
      <c r="F43" s="4" t="n">
        <f aca="false">IF(E43=0,0,G43/E43)</f>
        <v>0.0489451476793249</v>
      </c>
      <c r="G43" s="0" t="n">
        <v>232</v>
      </c>
      <c r="H43" s="5" t="n">
        <f aca="false">G43/728</f>
        <v>0.318681318681319</v>
      </c>
    </row>
    <row r="44" customFormat="false" ht="15" hidden="false" customHeight="false" outlineLevel="0" collapsed="false">
      <c r="A44" s="0" t="n">
        <v>43</v>
      </c>
      <c r="B44" s="0" t="s">
        <v>190</v>
      </c>
      <c r="C44" s="0" t="s">
        <v>191</v>
      </c>
      <c r="D44" s="0" t="s">
        <v>103</v>
      </c>
      <c r="E44" s="0" t="n">
        <v>8092</v>
      </c>
      <c r="F44" s="4" t="n">
        <f aca="false">IF(E44=0,0,G44/E44)</f>
        <v>0.027805239742956</v>
      </c>
      <c r="G44" s="0" t="n">
        <v>225</v>
      </c>
      <c r="H44" s="5" t="n">
        <f aca="false">G44/728</f>
        <v>0.309065934065934</v>
      </c>
    </row>
    <row r="45" customFormat="false" ht="15" hidden="false" customHeight="false" outlineLevel="0" collapsed="false">
      <c r="A45" s="0" t="n">
        <v>44</v>
      </c>
      <c r="B45" s="0" t="s">
        <v>192</v>
      </c>
      <c r="C45" s="0" t="s">
        <v>193</v>
      </c>
      <c r="D45" s="0" t="s">
        <v>120</v>
      </c>
      <c r="E45" s="0" t="n">
        <v>975</v>
      </c>
      <c r="F45" s="4" t="n">
        <f aca="false">IF(E45=0,0,G45/E45)</f>
        <v>0.207179487179487</v>
      </c>
      <c r="G45" s="0" t="n">
        <v>202</v>
      </c>
      <c r="H45" s="5" t="n">
        <f aca="false">G45/728</f>
        <v>0.277472527472528</v>
      </c>
    </row>
    <row r="46" customFormat="false" ht="15" hidden="false" customHeight="false" outlineLevel="0" collapsed="false">
      <c r="A46" s="0" t="n">
        <v>45</v>
      </c>
      <c r="B46" s="0" t="s">
        <v>194</v>
      </c>
      <c r="C46" s="0" t="s">
        <v>195</v>
      </c>
      <c r="D46" s="0" t="s">
        <v>115</v>
      </c>
      <c r="E46" s="0" t="n">
        <v>3872</v>
      </c>
      <c r="F46" s="4" t="n">
        <f aca="false">IF(E46=0,0,G46/E46)</f>
        <v>0.0418388429752066</v>
      </c>
      <c r="G46" s="0" t="n">
        <v>162</v>
      </c>
      <c r="H46" s="5" t="n">
        <f aca="false">G46/728</f>
        <v>0.222527472527473</v>
      </c>
    </row>
    <row r="47" customFormat="false" ht="15" hidden="false" customHeight="false" outlineLevel="0" collapsed="false">
      <c r="A47" s="0" t="n">
        <v>46</v>
      </c>
      <c r="B47" s="0" t="s">
        <v>196</v>
      </c>
      <c r="C47" s="0" t="s">
        <v>197</v>
      </c>
      <c r="D47" s="0" t="s">
        <v>120</v>
      </c>
      <c r="E47" s="0" t="n">
        <v>1897</v>
      </c>
      <c r="F47" s="4" t="n">
        <f aca="false">IF(E47=0,0,G47/E47)</f>
        <v>0.0748550342646284</v>
      </c>
      <c r="G47" s="0" t="n">
        <v>142</v>
      </c>
      <c r="H47" s="5" t="n">
        <f aca="false">G47/728</f>
        <v>0.195054945054945</v>
      </c>
    </row>
    <row r="48" customFormat="false" ht="15" hidden="false" customHeight="false" outlineLevel="0" collapsed="false">
      <c r="A48" s="0" t="n">
        <v>47</v>
      </c>
      <c r="B48" s="0" t="s">
        <v>198</v>
      </c>
      <c r="C48" s="0" t="s">
        <v>199</v>
      </c>
      <c r="D48" s="0" t="s">
        <v>200</v>
      </c>
      <c r="E48" s="0" t="n">
        <v>10826</v>
      </c>
      <c r="F48" s="4" t="n">
        <f aca="false">IF(E48=0,0,G48/E48)</f>
        <v>0.012747090338075</v>
      </c>
      <c r="G48" s="0" t="n">
        <v>138</v>
      </c>
      <c r="H48" s="5" t="n">
        <f aca="false">G48/728</f>
        <v>0.18956043956044</v>
      </c>
    </row>
    <row r="49" customFormat="false" ht="15" hidden="false" customHeight="false" outlineLevel="0" collapsed="false">
      <c r="A49" s="0" t="n">
        <v>48</v>
      </c>
      <c r="B49" s="0" t="s">
        <v>201</v>
      </c>
      <c r="C49" s="0" t="s">
        <v>202</v>
      </c>
      <c r="D49" s="0" t="s">
        <v>203</v>
      </c>
      <c r="E49" s="0" t="n">
        <v>3326</v>
      </c>
      <c r="F49" s="4" t="n">
        <f aca="false">IF(E49=0,0,G49/E49)</f>
        <v>0.0384846662657847</v>
      </c>
      <c r="G49" s="0" t="n">
        <v>128</v>
      </c>
      <c r="H49" s="5" t="n">
        <f aca="false">G49/728</f>
        <v>0.175824175824176</v>
      </c>
    </row>
    <row r="50" customFormat="false" ht="15" hidden="false" customHeight="false" outlineLevel="0" collapsed="false">
      <c r="A50" s="0" t="n">
        <v>49</v>
      </c>
      <c r="B50" s="0" t="s">
        <v>204</v>
      </c>
      <c r="C50" s="0" t="s">
        <v>205</v>
      </c>
      <c r="D50" s="0" t="s">
        <v>206</v>
      </c>
      <c r="E50" s="0" t="n">
        <v>3808</v>
      </c>
      <c r="F50" s="4" t="n">
        <f aca="false">IF(E50=0,0,G50/E50)</f>
        <v>0.0301995798319328</v>
      </c>
      <c r="G50" s="0" t="n">
        <v>115</v>
      </c>
      <c r="H50" s="5" t="n">
        <f aca="false">G50/728</f>
        <v>0.157967032967033</v>
      </c>
    </row>
    <row r="51" customFormat="false" ht="15" hidden="false" customHeight="false" outlineLevel="0" collapsed="false">
      <c r="A51" s="0" t="n">
        <v>50</v>
      </c>
      <c r="B51" s="0" t="s">
        <v>207</v>
      </c>
      <c r="C51" s="0" t="s">
        <v>208</v>
      </c>
      <c r="D51" s="0" t="s">
        <v>209</v>
      </c>
      <c r="E51" s="0" t="n">
        <v>304</v>
      </c>
      <c r="F51" s="4" t="n">
        <f aca="false">IF(E51=0,0,G51/E51)</f>
        <v>0.345394736842105</v>
      </c>
      <c r="G51" s="0" t="n">
        <v>105</v>
      </c>
      <c r="H51" s="5" t="n">
        <f aca="false">G51/728</f>
        <v>0.144230769230769</v>
      </c>
    </row>
    <row r="52" customFormat="false" ht="15" hidden="false" customHeight="false" outlineLevel="0" collapsed="false">
      <c r="A52" s="0" t="n">
        <v>51</v>
      </c>
      <c r="B52" s="0" t="s">
        <v>210</v>
      </c>
      <c r="C52" s="0" t="s">
        <v>211</v>
      </c>
      <c r="D52" s="0" t="s">
        <v>84</v>
      </c>
      <c r="E52" s="0" t="n">
        <v>4835</v>
      </c>
      <c r="F52" s="4" t="n">
        <f aca="false">IF(E52=0,0,G52/E52)</f>
        <v>0.0204756980351603</v>
      </c>
      <c r="G52" s="0" t="n">
        <v>99</v>
      </c>
      <c r="H52" s="5" t="n">
        <f aca="false">G52/728</f>
        <v>0.135989010989011</v>
      </c>
    </row>
    <row r="53" customFormat="false" ht="15" hidden="false" customHeight="false" outlineLevel="0" collapsed="false">
      <c r="A53" s="0" t="n">
        <v>52</v>
      </c>
      <c r="B53" s="0" t="s">
        <v>212</v>
      </c>
      <c r="C53" s="0" t="s">
        <v>213</v>
      </c>
      <c r="D53" s="0" t="s">
        <v>84</v>
      </c>
      <c r="E53" s="0" t="n">
        <v>5654</v>
      </c>
      <c r="F53" s="4" t="n">
        <f aca="false">IF(E53=0,0,G53/E53)</f>
        <v>0.0160948001414927</v>
      </c>
      <c r="G53" s="0" t="n">
        <v>91</v>
      </c>
      <c r="H53" s="5" t="n">
        <f aca="false">G53/728</f>
        <v>0.125</v>
      </c>
    </row>
    <row r="54" customFormat="false" ht="15" hidden="false" customHeight="false" outlineLevel="0" collapsed="false">
      <c r="A54" s="0" t="n">
        <v>53</v>
      </c>
      <c r="B54" s="0" t="s">
        <v>214</v>
      </c>
      <c r="C54" s="0" t="s">
        <v>215</v>
      </c>
      <c r="D54" s="0" t="s">
        <v>115</v>
      </c>
      <c r="E54" s="0" t="n">
        <v>1311</v>
      </c>
      <c r="F54" s="4" t="n">
        <f aca="false">IF(E54=0,0,G54/E54)</f>
        <v>0.0663615560640732</v>
      </c>
      <c r="G54" s="0" t="n">
        <v>87</v>
      </c>
      <c r="H54" s="5" t="n">
        <f aca="false">G54/728</f>
        <v>0.119505494505495</v>
      </c>
    </row>
    <row r="55" customFormat="false" ht="15" hidden="false" customHeight="false" outlineLevel="0" collapsed="false">
      <c r="A55" s="0" t="n">
        <v>54</v>
      </c>
      <c r="B55" s="0" t="s">
        <v>216</v>
      </c>
      <c r="C55" s="0" t="s">
        <v>217</v>
      </c>
      <c r="D55" s="0" t="s">
        <v>136</v>
      </c>
      <c r="E55" s="0" t="n">
        <v>5400</v>
      </c>
      <c r="F55" s="4" t="n">
        <f aca="false">IF(E55=0,0,G55/E55)</f>
        <v>0.015</v>
      </c>
      <c r="G55" s="0" t="n">
        <v>81</v>
      </c>
      <c r="H55" s="5" t="n">
        <f aca="false">G55/728</f>
        <v>0.111263736263736</v>
      </c>
    </row>
    <row r="56" customFormat="false" ht="15" hidden="false" customHeight="false" outlineLevel="0" collapsed="false">
      <c r="A56" s="0" t="n">
        <v>55</v>
      </c>
      <c r="B56" s="0" t="s">
        <v>218</v>
      </c>
      <c r="C56" s="0" t="s">
        <v>219</v>
      </c>
      <c r="D56" s="0" t="s">
        <v>220</v>
      </c>
      <c r="E56" s="0" t="n">
        <v>5511</v>
      </c>
      <c r="F56" s="4" t="n">
        <f aca="false">IF(E56=0,0,G56/E56)</f>
        <v>0.0141535111594992</v>
      </c>
      <c r="G56" s="0" t="n">
        <v>78</v>
      </c>
      <c r="H56" s="5" t="n">
        <f aca="false">G56/728</f>
        <v>0.107142857142857</v>
      </c>
    </row>
    <row r="57" customFormat="false" ht="15" hidden="false" customHeight="false" outlineLevel="0" collapsed="false">
      <c r="A57" s="0" t="n">
        <v>56</v>
      </c>
      <c r="B57" s="0" t="s">
        <v>221</v>
      </c>
      <c r="C57" s="0" t="s">
        <v>222</v>
      </c>
      <c r="D57" s="0" t="s">
        <v>120</v>
      </c>
      <c r="E57" s="0" t="n">
        <v>473</v>
      </c>
      <c r="F57" s="4" t="n">
        <f aca="false">IF(E57=0,0,G57/E57)</f>
        <v>0.158562367864693</v>
      </c>
      <c r="G57" s="0" t="n">
        <v>75</v>
      </c>
      <c r="H57" s="5" t="n">
        <f aca="false">G57/728</f>
        <v>0.103021978021978</v>
      </c>
    </row>
    <row r="58" customFormat="false" ht="15" hidden="false" customHeight="false" outlineLevel="0" collapsed="false">
      <c r="A58" s="0" t="n">
        <v>57</v>
      </c>
      <c r="B58" s="0" t="s">
        <v>223</v>
      </c>
      <c r="C58" s="0" t="s">
        <v>224</v>
      </c>
      <c r="D58" s="0" t="s">
        <v>90</v>
      </c>
      <c r="E58" s="0" t="n">
        <v>7098</v>
      </c>
      <c r="F58" s="4" t="n">
        <f aca="false">IF(E58=0,0,G58/E58)</f>
        <v>0.00887573964497041</v>
      </c>
      <c r="G58" s="0" t="n">
        <v>63</v>
      </c>
      <c r="H58" s="5" t="n">
        <f aca="false">G58/728</f>
        <v>0.0865384615384615</v>
      </c>
    </row>
    <row r="59" customFormat="false" ht="15" hidden="false" customHeight="false" outlineLevel="0" collapsed="false">
      <c r="A59" s="0" t="n">
        <v>58</v>
      </c>
      <c r="B59" s="0" t="s">
        <v>225</v>
      </c>
      <c r="C59" s="0" t="s">
        <v>226</v>
      </c>
      <c r="D59" s="0" t="s">
        <v>227</v>
      </c>
      <c r="E59" s="0" t="n">
        <v>2502</v>
      </c>
      <c r="F59" s="4" t="n">
        <f aca="false">IF(E59=0,0,G59/E59)</f>
        <v>0.0211830535571543</v>
      </c>
      <c r="G59" s="0" t="n">
        <v>53</v>
      </c>
      <c r="H59" s="5" t="n">
        <f aca="false">G59/728</f>
        <v>0.0728021978021978</v>
      </c>
    </row>
    <row r="60" customFormat="false" ht="15" hidden="false" customHeight="false" outlineLevel="0" collapsed="false">
      <c r="A60" s="0" t="n">
        <v>59</v>
      </c>
      <c r="B60" s="0" t="s">
        <v>228</v>
      </c>
      <c r="C60" s="0" t="s">
        <v>229</v>
      </c>
      <c r="D60" s="0" t="s">
        <v>229</v>
      </c>
      <c r="E60" s="0" t="n">
        <v>1306</v>
      </c>
      <c r="F60" s="4" t="n">
        <f aca="false">IF(E60=0,0,G60/E60)</f>
        <v>0.0382848392036753</v>
      </c>
      <c r="G60" s="0" t="n">
        <v>50</v>
      </c>
      <c r="H60" s="5" t="n">
        <f aca="false">G60/728</f>
        <v>0.0686813186813187</v>
      </c>
    </row>
    <row r="61" customFormat="false" ht="15" hidden="false" customHeight="false" outlineLevel="0" collapsed="false">
      <c r="A61" s="0" t="n">
        <v>60</v>
      </c>
      <c r="B61" s="0" t="s">
        <v>230</v>
      </c>
      <c r="C61" s="0" t="s">
        <v>231</v>
      </c>
      <c r="D61" s="0" t="s">
        <v>232</v>
      </c>
      <c r="E61" s="0" t="n">
        <v>1476</v>
      </c>
      <c r="F61" s="4" t="n">
        <f aca="false">IF(E61=0,0,G61/E61)</f>
        <v>0.0318428184281843</v>
      </c>
      <c r="G61" s="0" t="n">
        <v>47</v>
      </c>
      <c r="H61" s="5" t="n">
        <f aca="false">G61/728</f>
        <v>0.0645604395604396</v>
      </c>
    </row>
    <row r="62" customFormat="false" ht="15" hidden="false" customHeight="false" outlineLevel="0" collapsed="false">
      <c r="A62" s="0" t="n">
        <v>61</v>
      </c>
      <c r="B62" s="0" t="s">
        <v>233</v>
      </c>
      <c r="C62" s="0" t="s">
        <v>234</v>
      </c>
      <c r="D62" s="0" t="s">
        <v>235</v>
      </c>
      <c r="E62" s="0" t="n">
        <v>1668</v>
      </c>
      <c r="F62" s="4" t="n">
        <f aca="false">IF(E62=0,0,G62/E62)</f>
        <v>0.025779376498801</v>
      </c>
      <c r="G62" s="0" t="n">
        <v>43</v>
      </c>
      <c r="H62" s="5" t="n">
        <f aca="false">G62/728</f>
        <v>0.0590659340659341</v>
      </c>
    </row>
    <row r="63" customFormat="false" ht="15" hidden="false" customHeight="false" outlineLevel="0" collapsed="false">
      <c r="A63" s="0" t="n">
        <v>62</v>
      </c>
      <c r="B63" s="0" t="s">
        <v>236</v>
      </c>
      <c r="C63" s="0" t="s">
        <v>237</v>
      </c>
      <c r="D63" s="0" t="s">
        <v>126</v>
      </c>
      <c r="E63" s="0" t="n">
        <v>1586</v>
      </c>
      <c r="F63" s="4" t="n">
        <f aca="false">IF(E63=0,0,G63/E63)</f>
        <v>0.0226986128625473</v>
      </c>
      <c r="G63" s="0" t="n">
        <v>36</v>
      </c>
      <c r="H63" s="5" t="n">
        <f aca="false">G63/728</f>
        <v>0.0494505494505495</v>
      </c>
    </row>
    <row r="64" customFormat="false" ht="15" hidden="false" customHeight="false" outlineLevel="0" collapsed="false">
      <c r="A64" s="0" t="n">
        <v>63</v>
      </c>
      <c r="B64" s="0" t="s">
        <v>238</v>
      </c>
      <c r="C64" s="0" t="s">
        <v>239</v>
      </c>
      <c r="D64" s="0" t="s">
        <v>239</v>
      </c>
      <c r="E64" s="0" t="n">
        <v>1643</v>
      </c>
      <c r="F64" s="4" t="n">
        <f aca="false">IF(E64=0,0,G64/E64)</f>
        <v>0.0200852099817407</v>
      </c>
      <c r="G64" s="0" t="n">
        <v>33</v>
      </c>
      <c r="H64" s="5" t="n">
        <f aca="false">G64/728</f>
        <v>0.0453296703296703</v>
      </c>
    </row>
    <row r="65" customFormat="false" ht="15" hidden="false" customHeight="false" outlineLevel="0" collapsed="false">
      <c r="A65" s="0" t="n">
        <v>64</v>
      </c>
      <c r="B65" s="0" t="s">
        <v>240</v>
      </c>
      <c r="C65" s="0" t="s">
        <v>241</v>
      </c>
      <c r="D65" s="0" t="s">
        <v>242</v>
      </c>
      <c r="E65" s="0" t="n">
        <v>3757</v>
      </c>
      <c r="F65" s="4" t="n">
        <f aca="false">IF(E65=0,0,G65/E65)</f>
        <v>0.00745275485759915</v>
      </c>
      <c r="G65" s="0" t="n">
        <v>28</v>
      </c>
      <c r="H65" s="5" t="n">
        <f aca="false">G65/728</f>
        <v>0.0384615384615385</v>
      </c>
    </row>
    <row r="66" customFormat="false" ht="15" hidden="false" customHeight="false" outlineLevel="0" collapsed="false">
      <c r="A66" s="0" t="n">
        <v>65</v>
      </c>
      <c r="B66" s="0" t="s">
        <v>243</v>
      </c>
      <c r="C66" s="0" t="s">
        <v>244</v>
      </c>
      <c r="D66" s="0" t="s">
        <v>141</v>
      </c>
      <c r="E66" s="0" t="n">
        <v>1251</v>
      </c>
      <c r="F66" s="4" t="n">
        <f aca="false">IF(E66=0,0,G66/E66)</f>
        <v>0.0167865707434053</v>
      </c>
      <c r="G66" s="0" t="n">
        <v>21</v>
      </c>
      <c r="H66" s="5" t="n">
        <f aca="false">G66/728</f>
        <v>0.0288461538461538</v>
      </c>
    </row>
    <row r="67" customFormat="false" ht="15" hidden="false" customHeight="false" outlineLevel="0" collapsed="false">
      <c r="A67" s="0" t="n">
        <v>66</v>
      </c>
      <c r="B67" s="0" t="s">
        <v>245</v>
      </c>
      <c r="C67" s="0" t="s">
        <v>246</v>
      </c>
      <c r="D67" s="0" t="s">
        <v>187</v>
      </c>
      <c r="E67" s="0" t="n">
        <v>2750</v>
      </c>
      <c r="F67" s="4" t="n">
        <f aca="false">IF(E67=0,0,G67/E67)</f>
        <v>0.00654545454545455</v>
      </c>
      <c r="G67" s="0" t="n">
        <v>18</v>
      </c>
      <c r="H67" s="5" t="n">
        <f aca="false">G67/728</f>
        <v>0.0247252747252747</v>
      </c>
    </row>
    <row r="68" customFormat="false" ht="15" hidden="false" customHeight="false" outlineLevel="0" collapsed="false">
      <c r="A68" s="0" t="n">
        <v>67</v>
      </c>
      <c r="B68" s="0" t="s">
        <v>247</v>
      </c>
      <c r="C68" s="0" t="s">
        <v>248</v>
      </c>
      <c r="D68" s="0" t="s">
        <v>249</v>
      </c>
      <c r="E68" s="0" t="n">
        <v>1294</v>
      </c>
      <c r="F68" s="4" t="n">
        <f aca="false">IF(E68=0,0,G68/E68)</f>
        <v>0.0131375579598145</v>
      </c>
      <c r="G68" s="0" t="n">
        <v>17</v>
      </c>
      <c r="H68" s="5" t="n">
        <f aca="false">G68/728</f>
        <v>0.0233516483516484</v>
      </c>
    </row>
    <row r="69" customFormat="false" ht="15" hidden="false" customHeight="false" outlineLevel="0" collapsed="false">
      <c r="A69" s="0" t="n">
        <v>68</v>
      </c>
      <c r="B69" s="0" t="s">
        <v>250</v>
      </c>
      <c r="C69" s="0" t="s">
        <v>251</v>
      </c>
      <c r="D69" s="0" t="s">
        <v>252</v>
      </c>
      <c r="E69" s="0" t="n">
        <v>1194</v>
      </c>
      <c r="F69" s="4" t="n">
        <f aca="false">IF(E69=0,0,G69/E69)</f>
        <v>0.0125628140703518</v>
      </c>
      <c r="G69" s="0" t="n">
        <v>15</v>
      </c>
      <c r="H69" s="5" t="n">
        <f aca="false">G69/728</f>
        <v>0.0206043956043956</v>
      </c>
    </row>
    <row r="70" customFormat="false" ht="15" hidden="false" customHeight="false" outlineLevel="0" collapsed="false">
      <c r="A70" s="0" t="n">
        <v>69</v>
      </c>
      <c r="B70" s="0" t="s">
        <v>253</v>
      </c>
      <c r="C70" s="0" t="s">
        <v>254</v>
      </c>
      <c r="D70" s="0" t="s">
        <v>141</v>
      </c>
      <c r="E70" s="0" t="n">
        <v>1052</v>
      </c>
      <c r="F70" s="4" t="n">
        <f aca="false">IF(E70=0,0,G70/E70)</f>
        <v>0.0133079847908745</v>
      </c>
      <c r="G70" s="0" t="n">
        <v>14</v>
      </c>
      <c r="H70" s="5" t="n">
        <f aca="false">G70/728</f>
        <v>0.0192307692307692</v>
      </c>
    </row>
    <row r="71" customFormat="false" ht="15" hidden="false" customHeight="false" outlineLevel="0" collapsed="false">
      <c r="A71" s="0" t="n">
        <v>70</v>
      </c>
      <c r="B71" s="0" t="s">
        <v>255</v>
      </c>
      <c r="C71" s="0" t="s">
        <v>256</v>
      </c>
      <c r="D71" s="0" t="s">
        <v>257</v>
      </c>
      <c r="E71" s="0" t="n">
        <v>979</v>
      </c>
      <c r="F71" s="4" t="n">
        <f aca="false">IF(E71=0,0,G71/E71)</f>
        <v>0.0143003064351379</v>
      </c>
      <c r="G71" s="0" t="n">
        <v>14</v>
      </c>
      <c r="H71" s="5" t="n">
        <f aca="false">G71/728</f>
        <v>0.0192307692307692</v>
      </c>
    </row>
    <row r="72" customFormat="false" ht="15" hidden="false" customHeight="false" outlineLevel="0" collapsed="false">
      <c r="A72" s="0" t="n">
        <v>71</v>
      </c>
      <c r="B72" s="0" t="s">
        <v>258</v>
      </c>
      <c r="C72" s="0" t="s">
        <v>259</v>
      </c>
      <c r="D72" s="0" t="s">
        <v>156</v>
      </c>
      <c r="E72" s="0" t="n">
        <v>783</v>
      </c>
      <c r="F72" s="4" t="n">
        <f aca="false">IF(E72=0,0,G72/E72)</f>
        <v>0.0102171136653895</v>
      </c>
      <c r="G72" s="0" t="n">
        <v>8</v>
      </c>
      <c r="H72" s="5" t="n">
        <f aca="false">G72/728</f>
        <v>0.010989010989011</v>
      </c>
    </row>
    <row r="73" customFormat="false" ht="15" hidden="false" customHeight="false" outlineLevel="0" collapsed="false">
      <c r="A73" s="0" t="n">
        <v>72</v>
      </c>
      <c r="B73" s="0" t="s">
        <v>260</v>
      </c>
      <c r="C73" s="0" t="s">
        <v>261</v>
      </c>
      <c r="D73" s="0" t="s">
        <v>261</v>
      </c>
      <c r="E73" s="0" t="n">
        <v>799</v>
      </c>
      <c r="F73" s="4" t="n">
        <f aca="false">IF(E73=0,0,G73/E73)</f>
        <v>0.00750938673341677</v>
      </c>
      <c r="G73" s="0" t="n">
        <v>6</v>
      </c>
      <c r="H73" s="5" t="n">
        <f aca="false">G73/728</f>
        <v>0.00824175824175824</v>
      </c>
    </row>
    <row r="74" customFormat="false" ht="15" hidden="false" customHeight="false" outlineLevel="0" collapsed="false">
      <c r="A74" s="0" t="n">
        <v>73</v>
      </c>
      <c r="B74" s="0" t="s">
        <v>262</v>
      </c>
      <c r="C74" s="0" t="s">
        <v>263</v>
      </c>
      <c r="D74" s="0" t="s">
        <v>235</v>
      </c>
      <c r="E74" s="0" t="n">
        <v>518</v>
      </c>
      <c r="F74" s="4" t="n">
        <f aca="false">IF(E74=0,0,G74/E74)</f>
        <v>0.00772200772200772</v>
      </c>
      <c r="G74" s="0" t="n">
        <v>4</v>
      </c>
      <c r="H74" s="5" t="n">
        <f aca="false">G74/728</f>
        <v>0.0054945054945055</v>
      </c>
    </row>
    <row r="75" customFormat="false" ht="15" hidden="false" customHeight="false" outlineLevel="0" collapsed="false">
      <c r="A75" s="0" t="n">
        <v>74</v>
      </c>
      <c r="B75" s="0" t="s">
        <v>264</v>
      </c>
      <c r="C75" s="0" t="s">
        <v>265</v>
      </c>
      <c r="D75" s="0" t="s">
        <v>126</v>
      </c>
      <c r="E75" s="0" t="n">
        <v>115</v>
      </c>
      <c r="F75" s="4" t="n">
        <f aca="false">IF(E75=0,0,G75/E75)</f>
        <v>0.0260869565217391</v>
      </c>
      <c r="G75" s="0" t="n">
        <v>3</v>
      </c>
      <c r="H75" s="5" t="n">
        <f aca="false">G75/728</f>
        <v>0.00412087912087912</v>
      </c>
    </row>
    <row r="76" customFormat="false" ht="15" hidden="false" customHeight="false" outlineLevel="0" collapsed="false">
      <c r="A76" s="0" t="n">
        <v>75</v>
      </c>
      <c r="B76" s="0" t="s">
        <v>266</v>
      </c>
      <c r="C76" s="0" t="s">
        <v>266</v>
      </c>
      <c r="E76" s="0" t="n">
        <v>45675</v>
      </c>
      <c r="F76" s="4" t="n">
        <f aca="false">IF(E76=0,0,G76/E76)</f>
        <v>0.00013136288998358</v>
      </c>
      <c r="G76" s="0" t="n">
        <v>6</v>
      </c>
      <c r="H76" s="5" t="n">
        <f aca="false">G76/728</f>
        <v>0.00824175824175824</v>
      </c>
    </row>
    <row r="77" customFormat="false" ht="15" hidden="false" customHeight="false" outlineLevel="0" collapsed="false">
      <c r="A77" s="6"/>
      <c r="B77" s="6"/>
      <c r="C77" s="6" t="s">
        <v>52</v>
      </c>
      <c r="D77" s="6"/>
      <c r="E77" s="6" t="n">
        <f aca="false">SUM(E2:E76)</f>
        <v>991342</v>
      </c>
      <c r="F77" s="7" t="n">
        <f aca="false">IF(E77=0,0,G77/E77)</f>
        <v>0.0454071349746102</v>
      </c>
      <c r="G77" s="6" t="n">
        <f aca="false">SUM(G2:G76)</f>
        <v>45014</v>
      </c>
      <c r="H77" s="8" t="n">
        <f aca="false">G77/728</f>
        <v>61.8324175824176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26.85" hidden="false" customHeight="false" outlineLevel="0" collapsed="false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62</v>
      </c>
    </row>
    <row r="2" customFormat="false" ht="15" hidden="false" customHeight="false" outlineLevel="0" collapsed="false">
      <c r="A2" s="6"/>
      <c r="B2" s="6"/>
      <c r="C2" s="6" t="s">
        <v>52</v>
      </c>
      <c r="D2" s="6"/>
      <c r="E2" s="6" t="n">
        <v>1206800</v>
      </c>
      <c r="F2" s="6"/>
      <c r="G2" s="6" t="n">
        <v>2628</v>
      </c>
      <c r="H2" s="6" t="n">
        <v>3.6</v>
      </c>
    </row>
    <row r="4" customFormat="false" ht="15" hidden="false" customHeight="false" outlineLevel="0" collapsed="false">
      <c r="A4" s="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2" t="s">
        <v>268</v>
      </c>
      <c r="B1" s="2" t="s">
        <v>269</v>
      </c>
      <c r="C1" s="2" t="s">
        <v>270</v>
      </c>
      <c r="D1" s="2" t="s">
        <v>271</v>
      </c>
    </row>
    <row r="2" customFormat="false" ht="15" hidden="false" customHeight="false" outlineLevel="0" collapsed="false">
      <c r="A2" s="0" t="s">
        <v>272</v>
      </c>
      <c r="B2" s="0" t="n">
        <v>82708</v>
      </c>
      <c r="C2" s="0" t="n">
        <v>85106</v>
      </c>
      <c r="D2" s="0" t="n">
        <v>87574</v>
      </c>
    </row>
    <row r="3" customFormat="false" ht="15" hidden="false" customHeight="false" outlineLevel="0" collapsed="false">
      <c r="A3" s="0" t="s">
        <v>273</v>
      </c>
      <c r="B3" s="0" t="n">
        <v>45011</v>
      </c>
      <c r="C3" s="0" t="n">
        <v>46316</v>
      </c>
      <c r="D3" s="0" t="n">
        <v>47659</v>
      </c>
    </row>
    <row r="4" customFormat="false" ht="15" hidden="false" customHeight="false" outlineLevel="0" collapsed="false">
      <c r="A4" s="0" t="s">
        <v>274</v>
      </c>
      <c r="B4" s="0" t="n">
        <v>2628</v>
      </c>
      <c r="C4" s="0" t="n">
        <v>2704</v>
      </c>
      <c r="D4" s="0" t="n">
        <v>2782</v>
      </c>
    </row>
    <row r="5" customFormat="false" ht="15" hidden="false" customHeight="false" outlineLevel="0" collapsed="false">
      <c r="A5" s="0" t="s">
        <v>275</v>
      </c>
      <c r="B5" s="6" t="n">
        <v>130346</v>
      </c>
      <c r="C5" s="6" t="n">
        <v>134126</v>
      </c>
      <c r="D5" s="6" t="n">
        <v>138016</v>
      </c>
    </row>
    <row r="6" customFormat="false" ht="15" hidden="false" customHeight="false" outlineLevel="0" collapsed="false">
      <c r="A6" s="0" t="s">
        <v>276</v>
      </c>
      <c r="B6" s="0" t="n">
        <v>155792</v>
      </c>
      <c r="C6" s="0" t="n">
        <v>155792</v>
      </c>
      <c r="D6" s="0" t="n">
        <v>155792</v>
      </c>
    </row>
    <row r="7" customFormat="false" ht="15" hidden="false" customHeight="false" outlineLevel="0" collapsed="false">
      <c r="A7" s="0" t="s">
        <v>277</v>
      </c>
      <c r="B7" s="4" t="n">
        <f aca="false">B5/B6</f>
        <v>0.836666837835062</v>
      </c>
      <c r="C7" s="4" t="n">
        <f aca="false">C5/C6</f>
        <v>0.860929957892575</v>
      </c>
      <c r="D7" s="4" t="n">
        <f aca="false">D5/D6</f>
        <v>0.885899147581391</v>
      </c>
    </row>
    <row r="9" customFormat="false" ht="15" hidden="false" customHeight="false" outlineLevel="0" collapsed="false">
      <c r="A9" s="2" t="s">
        <v>278</v>
      </c>
      <c r="B9" s="2" t="s">
        <v>269</v>
      </c>
      <c r="C9" s="2" t="s">
        <v>270</v>
      </c>
      <c r="D9" s="2" t="s">
        <v>271</v>
      </c>
    </row>
    <row r="10" customFormat="false" ht="15" hidden="false" customHeight="false" outlineLevel="0" collapsed="false">
      <c r="A10" s="0" t="s">
        <v>272</v>
      </c>
      <c r="B10" s="9" t="n">
        <v>84645831</v>
      </c>
      <c r="C10" s="9" t="n">
        <v>87100560</v>
      </c>
      <c r="D10" s="9" t="n">
        <v>89626476</v>
      </c>
    </row>
    <row r="11" customFormat="false" ht="15" hidden="false" customHeight="false" outlineLevel="0" collapsed="false">
      <c r="A11" s="0" t="s">
        <v>273</v>
      </c>
      <c r="B11" s="9" t="n">
        <v>26636396</v>
      </c>
      <c r="C11" s="9" t="n">
        <v>27408851</v>
      </c>
      <c r="D11" s="9" t="n">
        <v>28203708</v>
      </c>
    </row>
    <row r="12" customFormat="false" ht="15" hidden="false" customHeight="false" outlineLevel="0" collapsed="false">
      <c r="A12" s="0" t="s">
        <v>274</v>
      </c>
      <c r="B12" s="9" t="n">
        <v>2120647</v>
      </c>
      <c r="C12" s="9" t="n">
        <v>2182145</v>
      </c>
      <c r="D12" s="9" t="n">
        <v>2245428</v>
      </c>
    </row>
    <row r="13" customFormat="false" ht="15" hidden="false" customHeight="false" outlineLevel="0" collapsed="false">
      <c r="A13" s="0" t="s">
        <v>279</v>
      </c>
      <c r="B13" s="9" t="n">
        <v>7280000</v>
      </c>
      <c r="C13" s="9" t="n">
        <v>7644000</v>
      </c>
      <c r="D13" s="9" t="n">
        <v>8026200</v>
      </c>
    </row>
    <row r="14" customFormat="false" ht="15" hidden="false" customHeight="false" outlineLevel="0" collapsed="false">
      <c r="A14" s="0" t="s">
        <v>280</v>
      </c>
      <c r="B14" s="9" t="n">
        <v>1036250</v>
      </c>
      <c r="C14" s="9" t="n">
        <v>1066302</v>
      </c>
      <c r="D14" s="9" t="n">
        <v>1097224</v>
      </c>
    </row>
    <row r="15" customFormat="false" ht="15" hidden="false" customHeight="false" outlineLevel="0" collapsed="false">
      <c r="A15" s="0" t="s">
        <v>275</v>
      </c>
      <c r="B15" s="10" t="n">
        <v>121719124</v>
      </c>
      <c r="C15" s="10" t="n">
        <v>125401858</v>
      </c>
      <c r="D15" s="10" t="n">
        <v>129199036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2" t="s">
        <v>281</v>
      </c>
      <c r="B1" s="2" t="s">
        <v>14</v>
      </c>
    </row>
    <row r="2" customFormat="false" ht="15" hidden="false" customHeight="false" outlineLevel="0" collapsed="false">
      <c r="A2" s="3" t="s">
        <v>282</v>
      </c>
      <c r="B2" s="0" t="s">
        <v>28</v>
      </c>
    </row>
    <row r="3" customFormat="false" ht="15" hidden="false" customHeight="false" outlineLevel="0" collapsed="false">
      <c r="A3" s="3" t="s">
        <v>283</v>
      </c>
      <c r="B3" s="0" t="n">
        <v>7</v>
      </c>
    </row>
    <row r="4" customFormat="false" ht="15" hidden="false" customHeight="false" outlineLevel="0" collapsed="false">
      <c r="A4" s="3" t="s">
        <v>284</v>
      </c>
      <c r="B4" s="0" t="n">
        <v>728</v>
      </c>
    </row>
    <row r="5" customFormat="false" ht="15" hidden="false" customHeight="false" outlineLevel="0" collapsed="false">
      <c r="A5" s="3" t="s">
        <v>285</v>
      </c>
      <c r="B5" s="0" t="n">
        <v>10.5</v>
      </c>
    </row>
    <row r="6" customFormat="false" ht="15" hidden="false" customHeight="false" outlineLevel="0" collapsed="false">
      <c r="A6" s="3" t="s">
        <v>286</v>
      </c>
      <c r="B6" s="0" t="n">
        <v>35</v>
      </c>
    </row>
    <row r="7" customFormat="false" ht="15" hidden="false" customHeight="false" outlineLevel="0" collapsed="false">
      <c r="A7" s="3" t="s">
        <v>287</v>
      </c>
      <c r="B7" s="0" t="n">
        <v>25</v>
      </c>
    </row>
    <row r="8" customFormat="false" ht="15" hidden="false" customHeight="false" outlineLevel="0" collapsed="false">
      <c r="A8" s="3" t="s">
        <v>288</v>
      </c>
      <c r="B8" s="0" t="n">
        <v>154</v>
      </c>
    </row>
    <row r="9" customFormat="false" ht="15" hidden="false" customHeight="false" outlineLevel="0" collapsed="false">
      <c r="A9" s="3" t="s">
        <v>289</v>
      </c>
      <c r="B9" s="0" t="n">
        <v>214</v>
      </c>
    </row>
    <row r="10" customFormat="false" ht="15" hidden="false" customHeight="false" outlineLevel="0" collapsed="false">
      <c r="A10" s="3" t="s">
        <v>290</v>
      </c>
      <c r="B10" s="0" t="n">
        <v>214</v>
      </c>
    </row>
    <row r="11" customFormat="false" ht="15" hidden="false" customHeight="false" outlineLevel="0" collapsed="false">
      <c r="A11" s="3" t="s">
        <v>291</v>
      </c>
      <c r="B11" s="4" t="n">
        <v>0.837</v>
      </c>
    </row>
    <row r="12" customFormat="false" ht="15" hidden="false" customHeight="false" outlineLevel="0" collapsed="false">
      <c r="A12" s="3" t="s">
        <v>292</v>
      </c>
      <c r="B12" s="9" t="n">
        <v>1023.43</v>
      </c>
    </row>
    <row r="13" customFormat="false" ht="15" hidden="false" customHeight="false" outlineLevel="0" collapsed="false">
      <c r="A13" s="3" t="s">
        <v>293</v>
      </c>
      <c r="B13" s="9" t="n">
        <v>603.64</v>
      </c>
    </row>
    <row r="14" customFormat="false" ht="15" hidden="false" customHeight="false" outlineLevel="0" collapsed="false">
      <c r="A14" s="3" t="s">
        <v>294</v>
      </c>
      <c r="B14" s="9" t="n">
        <v>870.01</v>
      </c>
    </row>
    <row r="15" customFormat="false" ht="15" hidden="false" customHeight="false" outlineLevel="0" collapsed="false">
      <c r="A15" s="3" t="s">
        <v>295</v>
      </c>
      <c r="B15" s="0" t="n">
        <v>0.101</v>
      </c>
    </row>
    <row r="16" customFormat="false" ht="15" hidden="false" customHeight="false" outlineLevel="0" collapsed="false">
      <c r="A16" s="3" t="s">
        <v>296</v>
      </c>
      <c r="B16" s="0" t="n">
        <v>0.0845</v>
      </c>
    </row>
    <row r="17" customFormat="false" ht="15" hidden="false" customHeight="false" outlineLevel="0" collapsed="false">
      <c r="A17" s="3" t="s">
        <v>297</v>
      </c>
      <c r="B17" s="9" t="n">
        <v>113402874</v>
      </c>
    </row>
    <row r="18" customFormat="false" ht="15" hidden="false" customHeight="false" outlineLevel="0" collapsed="false">
      <c r="A18" s="3" t="s">
        <v>298</v>
      </c>
      <c r="B18" s="9" t="n">
        <v>7280000</v>
      </c>
    </row>
    <row r="19" customFormat="false" ht="15" hidden="false" customHeight="false" outlineLevel="0" collapsed="false">
      <c r="A19" s="3" t="s">
        <v>299</v>
      </c>
      <c r="B19" s="9" t="n">
        <v>1036250</v>
      </c>
    </row>
    <row r="20" customFormat="false" ht="15" hidden="false" customHeight="false" outlineLevel="0" collapsed="false">
      <c r="A20" s="3" t="s">
        <v>300</v>
      </c>
      <c r="B20" s="9" t="n">
        <v>121719124</v>
      </c>
    </row>
    <row r="21" customFormat="false" ht="15" hidden="false" customHeight="false" outlineLevel="0" collapsed="false">
      <c r="A21" s="3" t="s">
        <v>301</v>
      </c>
      <c r="B21" s="0" t="n">
        <v>0.0907</v>
      </c>
    </row>
    <row r="22" customFormat="false" ht="15" hidden="false" customHeight="false" outlineLevel="0" collapsed="false">
      <c r="A22" s="3" t="s">
        <v>302</v>
      </c>
    </row>
    <row r="23" customFormat="false" ht="15" hidden="false" customHeight="false" outlineLevel="0" collapsed="false">
      <c r="A23" s="3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6" t="s">
        <v>304</v>
      </c>
    </row>
    <row r="2" customFormat="false" ht="15" hidden="false" customHeight="false" outlineLevel="0" collapsed="false">
      <c r="A2" s="2" t="s">
        <v>305</v>
      </c>
      <c r="B2" s="2" t="s">
        <v>269</v>
      </c>
      <c r="C2" s="2" t="s">
        <v>270</v>
      </c>
      <c r="D2" s="2" t="s">
        <v>271</v>
      </c>
    </row>
    <row r="3" customFormat="false" ht="15" hidden="false" customHeight="false" outlineLevel="0" collapsed="false">
      <c r="A3" s="0" t="s">
        <v>272</v>
      </c>
      <c r="B3" s="9" t="n">
        <v>84645831</v>
      </c>
      <c r="C3" s="9" t="n">
        <v>87100560</v>
      </c>
      <c r="D3" s="9" t="n">
        <v>89626476</v>
      </c>
    </row>
    <row r="4" customFormat="false" ht="15" hidden="false" customHeight="false" outlineLevel="0" collapsed="false">
      <c r="A4" s="0" t="s">
        <v>273</v>
      </c>
      <c r="B4" s="9" t="n">
        <v>26636396</v>
      </c>
      <c r="C4" s="9" t="n">
        <v>27408851</v>
      </c>
      <c r="D4" s="9" t="n">
        <v>28203708</v>
      </c>
    </row>
    <row r="5" customFormat="false" ht="15" hidden="false" customHeight="false" outlineLevel="0" collapsed="false">
      <c r="A5" s="0" t="s">
        <v>274</v>
      </c>
      <c r="B5" s="9" t="n">
        <v>2120647</v>
      </c>
      <c r="C5" s="9" t="n">
        <v>2182145</v>
      </c>
      <c r="D5" s="9" t="n">
        <v>2245428</v>
      </c>
    </row>
    <row r="6" customFormat="false" ht="15" hidden="false" customHeight="false" outlineLevel="0" collapsed="false">
      <c r="A6" s="0" t="s">
        <v>279</v>
      </c>
      <c r="B6" s="9" t="n">
        <v>7280000</v>
      </c>
      <c r="C6" s="9" t="n">
        <v>7644000</v>
      </c>
      <c r="D6" s="9" t="n">
        <v>8026200</v>
      </c>
    </row>
    <row r="7" customFormat="false" ht="15" hidden="false" customHeight="false" outlineLevel="0" collapsed="false">
      <c r="A7" s="0" t="s">
        <v>280</v>
      </c>
      <c r="B7" s="9" t="n">
        <v>1036250</v>
      </c>
      <c r="C7" s="9" t="n">
        <v>1066302</v>
      </c>
      <c r="D7" s="9" t="n">
        <v>1097224</v>
      </c>
    </row>
    <row r="9" customFormat="false" ht="15" hidden="false" customHeight="false" outlineLevel="0" collapsed="false">
      <c r="A9" s="6" t="s">
        <v>306</v>
      </c>
    </row>
    <row r="10" customFormat="false" ht="15" hidden="false" customHeight="false" outlineLevel="0" collapsed="false">
      <c r="A10" s="2" t="s">
        <v>307</v>
      </c>
      <c r="B10" s="2" t="s">
        <v>269</v>
      </c>
      <c r="C10" s="2" t="s">
        <v>270</v>
      </c>
      <c r="D10" s="2" t="s">
        <v>271</v>
      </c>
    </row>
    <row r="11" customFormat="false" ht="15" hidden="false" customHeight="false" outlineLevel="0" collapsed="false">
      <c r="A11" s="0" t="s">
        <v>308</v>
      </c>
    </row>
    <row r="12" customFormat="false" ht="15" hidden="false" customHeight="false" outlineLevel="0" collapsed="false">
      <c r="A12" s="0" t="s">
        <v>309</v>
      </c>
    </row>
    <row r="13" customFormat="false" ht="15" hidden="false" customHeight="false" outlineLevel="0" collapsed="false">
      <c r="A13" s="0" t="s">
        <v>310</v>
      </c>
    </row>
    <row r="15" customFormat="false" ht="15" hidden="false" customHeight="false" outlineLevel="0" collapsed="false">
      <c r="A15" s="0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2" t="s">
        <v>312</v>
      </c>
      <c r="B1" s="2" t="s">
        <v>313</v>
      </c>
    </row>
    <row r="2" customFormat="false" ht="15" hidden="false" customHeight="false" outlineLevel="0" collapsed="false">
      <c r="A2" s="3" t="s">
        <v>314</v>
      </c>
      <c r="B2" s="0" t="s">
        <v>315</v>
      </c>
    </row>
    <row r="3" customFormat="false" ht="15" hidden="false" customHeight="false" outlineLevel="0" collapsed="false">
      <c r="A3" s="3" t="s">
        <v>316</v>
      </c>
      <c r="B3" s="0" t="s">
        <v>317</v>
      </c>
    </row>
    <row r="4" customFormat="false" ht="15" hidden="false" customHeight="false" outlineLevel="0" collapsed="false">
      <c r="A4" s="3" t="s">
        <v>318</v>
      </c>
      <c r="B4" s="0" t="s">
        <v>319</v>
      </c>
    </row>
    <row r="6" customFormat="false" ht="15" hidden="false" customHeight="false" outlineLevel="0" collapsed="false">
      <c r="A6" s="6" t="s">
        <v>320</v>
      </c>
    </row>
    <row r="7" customFormat="false" ht="26.85" hidden="false" customHeight="false" outlineLevel="0" collapsed="false">
      <c r="A7" s="2" t="s">
        <v>321</v>
      </c>
      <c r="B7" s="2" t="s">
        <v>76</v>
      </c>
      <c r="C7" s="2" t="s">
        <v>79</v>
      </c>
    </row>
    <row r="8" customFormat="false" ht="15" hidden="false" customHeight="false" outlineLevel="0" collapsed="false">
      <c r="A8" s="0" t="s">
        <v>83</v>
      </c>
      <c r="B8" s="0" t="s">
        <v>82</v>
      </c>
      <c r="C8" s="0" t="n">
        <v>140521</v>
      </c>
    </row>
    <row r="9" customFormat="false" ht="15" hidden="false" customHeight="false" outlineLevel="0" collapsed="false">
      <c r="A9" s="0" t="s">
        <v>95</v>
      </c>
      <c r="B9" s="0" t="s">
        <v>94</v>
      </c>
      <c r="C9" s="0" t="n">
        <v>100810</v>
      </c>
    </row>
    <row r="10" customFormat="false" ht="15" hidden="false" customHeight="false" outlineLevel="0" collapsed="false">
      <c r="A10" s="0" t="s">
        <v>99</v>
      </c>
      <c r="B10" s="0" t="s">
        <v>98</v>
      </c>
      <c r="C10" s="0" t="n">
        <v>60675</v>
      </c>
    </row>
    <row r="11" customFormat="false" ht="15" hidden="false" customHeight="false" outlineLevel="0" collapsed="false">
      <c r="A11" s="0" t="s">
        <v>128</v>
      </c>
      <c r="B11" s="0" t="s">
        <v>127</v>
      </c>
      <c r="C11" s="0" t="n">
        <v>45892</v>
      </c>
    </row>
    <row r="12" customFormat="false" ht="15" hidden="false" customHeight="false" outlineLevel="0" collapsed="false">
      <c r="A12" s="0" t="s">
        <v>89</v>
      </c>
      <c r="B12" s="0" t="s">
        <v>88</v>
      </c>
      <c r="C12" s="0" t="n">
        <v>43810</v>
      </c>
    </row>
    <row r="13" customFormat="false" ht="15" hidden="false" customHeight="false" outlineLevel="0" collapsed="false">
      <c r="A13" s="0" t="s">
        <v>131</v>
      </c>
      <c r="B13" s="0" t="s">
        <v>130</v>
      </c>
      <c r="C13" s="0" t="n">
        <v>36924</v>
      </c>
    </row>
    <row r="14" customFormat="false" ht="15" hidden="false" customHeight="false" outlineLevel="0" collapsed="false">
      <c r="A14" s="0" t="s">
        <v>122</v>
      </c>
      <c r="B14" s="0" t="s">
        <v>121</v>
      </c>
      <c r="C14" s="0" t="n">
        <v>32449</v>
      </c>
    </row>
    <row r="15" customFormat="false" ht="15" hidden="false" customHeight="false" outlineLevel="0" collapsed="false">
      <c r="A15" s="0" t="s">
        <v>86</v>
      </c>
      <c r="B15" s="0" t="s">
        <v>85</v>
      </c>
      <c r="C15" s="0" t="n">
        <v>28174</v>
      </c>
    </row>
    <row r="16" customFormat="false" ht="15" hidden="false" customHeight="false" outlineLevel="0" collapsed="false">
      <c r="A16" s="0" t="s">
        <v>143</v>
      </c>
      <c r="B16" s="0" t="s">
        <v>142</v>
      </c>
      <c r="C16" s="0" t="n">
        <v>27549</v>
      </c>
    </row>
    <row r="17" customFormat="false" ht="15" hidden="false" customHeight="false" outlineLevel="0" collapsed="false">
      <c r="A17" s="0" t="s">
        <v>102</v>
      </c>
      <c r="B17" s="0" t="s">
        <v>101</v>
      </c>
      <c r="C17" s="0" t="n">
        <v>25155</v>
      </c>
    </row>
    <row r="18" customFormat="false" ht="15" hidden="false" customHeight="false" outlineLevel="0" collapsed="false">
      <c r="A18" s="0" t="s">
        <v>125</v>
      </c>
      <c r="B18" s="0" t="s">
        <v>124</v>
      </c>
      <c r="C18" s="0" t="n">
        <v>22072</v>
      </c>
    </row>
    <row r="19" customFormat="false" ht="15" hidden="false" customHeight="false" outlineLevel="0" collapsed="false">
      <c r="A19" s="0" t="s">
        <v>151</v>
      </c>
      <c r="B19" s="0" t="s">
        <v>150</v>
      </c>
      <c r="C19" s="0" t="n">
        <v>19730</v>
      </c>
    </row>
    <row r="20" customFormat="false" ht="15" hidden="false" customHeight="false" outlineLevel="0" collapsed="false">
      <c r="A20" s="0" t="s">
        <v>114</v>
      </c>
      <c r="B20" s="0" t="s">
        <v>113</v>
      </c>
      <c r="C20" s="0" t="n">
        <v>19567</v>
      </c>
    </row>
    <row r="21" customFormat="false" ht="15" hidden="false" customHeight="false" outlineLevel="0" collapsed="false">
      <c r="A21" s="0" t="s">
        <v>117</v>
      </c>
      <c r="B21" s="0" t="s">
        <v>116</v>
      </c>
      <c r="C21" s="0" t="n">
        <v>18020</v>
      </c>
    </row>
    <row r="22" customFormat="false" ht="15" hidden="false" customHeight="false" outlineLevel="0" collapsed="false">
      <c r="A22" s="0" t="s">
        <v>160</v>
      </c>
      <c r="B22" s="0" t="s">
        <v>159</v>
      </c>
      <c r="C22" s="0" t="n">
        <v>16663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2026-06-28T23:09:04Z</dcterms:created>
  <dc:creator>Avia Solutions</dc:creator>
  <dc:description/>
  <dc:language>en-US</dc:language>
  <cp:lastModifiedBy>Avia Solutions</cp:lastModifiedBy>
  <dcterms:modified xsi:type="dcterms:W3CDTF">2026-06-28T23:09:04Z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