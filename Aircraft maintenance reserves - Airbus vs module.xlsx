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tenance comparison" sheetId="1" state="visible" r:id="rId3"/>
    <sheet name="Method &amp; sourc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<sst xmlns="http://schemas.openxmlformats.org/spreadsheetml/2006/main" count="66" uniqueCount="62">
  <si>
    <t xml:space="preserve">Airbus maintenance reserves vs current module maintenance anchors</t>
  </si>
  <si>
    <t xml:space="preserve">Heavy-maintenance reserve $/flight-hour (Airbus 2024-2025 booklet, re-implemented and validated) against the module maint_per_bh ($/block-hour). Reserves exclude line maintenance; see Method.</t>
  </si>
  <si>
    <t xml:space="preserve">Reserve-to-DMC bridge factor (reserves as share of total maintenance DMC):</t>
  </si>
  <si>
    <t xml:space="preserve">Module type</t>
  </si>
  <si>
    <t xml:space="preserve">Booklet type</t>
  </si>
  <si>
    <t xml:space="preserve">Engine</t>
  </si>
  <si>
    <t xml:space="preserve">Annual util (FH)</t>
  </si>
  <si>
    <t xml:space="preserve">Current maint $/BH</t>
  </si>
  <si>
    <t xml:space="preserve">Reserve $/FH (short)</t>
  </si>
  <si>
    <t xml:space="preserve">Reserve $/FH (typical)</t>
  </si>
  <si>
    <t xml:space="preserve">Reserve $/FH (long)</t>
  </si>
  <si>
    <t xml:space="preserve">Reserve(typ) / current</t>
  </si>
  <si>
    <t xml:space="preserve">Bridged total $/FH (typ)</t>
  </si>
  <si>
    <t xml:space="preserve">Bridged / current</t>
  </si>
  <si>
    <t xml:space="preserve">A319</t>
  </si>
  <si>
    <t xml:space="preserve">A319-100</t>
  </si>
  <si>
    <t xml:space="preserve">CFM56-5B6/P</t>
  </si>
  <si>
    <t xml:space="preserve">A320</t>
  </si>
  <si>
    <t xml:space="preserve">A320-200</t>
  </si>
  <si>
    <t xml:space="preserve">CFM56-5B4/P</t>
  </si>
  <si>
    <t xml:space="preserve">A20N</t>
  </si>
  <si>
    <t xml:space="preserve">A320neo</t>
  </si>
  <si>
    <t xml:space="preserve">Leap-1A26</t>
  </si>
  <si>
    <t xml:space="preserve">PW1127G</t>
  </si>
  <si>
    <t xml:space="preserve">A321</t>
  </si>
  <si>
    <t xml:space="preserve">A321-200</t>
  </si>
  <si>
    <t xml:space="preserve">CFM56-5B3/P</t>
  </si>
  <si>
    <t xml:space="preserve">A21N</t>
  </si>
  <si>
    <t xml:space="preserve">A321neo</t>
  </si>
  <si>
    <t xml:space="preserve">Leap-1A32</t>
  </si>
  <si>
    <t xml:space="preserve">PW1133G PIP</t>
  </si>
  <si>
    <t xml:space="preserve">A21X</t>
  </si>
  <si>
    <t xml:space="preserve">A321XLR</t>
  </si>
  <si>
    <t xml:space="preserve">Leap-1A33 XLR</t>
  </si>
  <si>
    <t xml:space="preserve">A333</t>
  </si>
  <si>
    <t xml:space="preserve">A330-300</t>
  </si>
  <si>
    <t xml:space="preserve">Trent772C</t>
  </si>
  <si>
    <t xml:space="preserve">A339</t>
  </si>
  <si>
    <t xml:space="preserve">A330-900neo</t>
  </si>
  <si>
    <t xml:space="preserve">Trent 7000-72</t>
  </si>
  <si>
    <t xml:space="preserve">A359</t>
  </si>
  <si>
    <t xml:space="preserve">A350-900 XWB</t>
  </si>
  <si>
    <t xml:space="preserve">TrentXWB-84</t>
  </si>
  <si>
    <t xml:space="preserve">Typical sector (FH): NB 2.0-2.5, A321XLR 6.0, A330 6-7, A350 9. Short/long columns show sector sensitivity. Reserves are $/flight-hour; block hours run ~5-8% higher, so $/block-hour is marginally lower.</t>
  </si>
  <si>
    <t xml:space="preserve">Method, validation and sources</t>
  </si>
  <si>
    <t xml:space="preserve">Source file</t>
  </si>
  <si>
    <t xml:space="preserve">Airbus "2024-2025 Maintenance Reserves booklet, Excel tool v2.1.xlsm" (Egnyte: 02 Knowledge / Industry Reports / Airbus / Briefings / Nov 2024). Indicative reserves; excludes any commercial discount the engine OEM may offer.</t>
  </si>
  <si>
    <t xml:space="preserve">What was extracted</t>
  </si>
  <si>
    <t xml:space="preserve">The booklet is a calculator over a hidden 5,221-column scenario matrix (20 airframes x engine option x sector x derate, each at Airbus's assumed annual utilisation). Each column carries the full reserve build-up: airframe heavy checks (6/12/18/24-yr), engine shop-visit and LLP, APU, landing gear, thrust reverser.</t>
  </si>
  <si>
    <t xml:space="preserve">The six-component monthly-reserve assembly (Calc + Results sheets) was re-implemented in Python and run per type/engine/sector. Total reserve converted to $/flight-hour via the type's annual utilisation.</t>
  </si>
  <si>
    <t xml:space="preserve">Validation against the booklet's own cached outputs (A321neo)</t>
  </si>
  <si>
    <t xml:space="preserve">Mature engine cost: 31.80 $/engine-FH  (booklet 32).</t>
  </si>
  <si>
    <t xml:space="preserve">APU: 14.18 $/APU-hour  (booklet 14).</t>
  </si>
  <si>
    <t xml:space="preserve">6-year check cost: 302,886  (booklet 302,909);  12-year check: 563,742  (booklet 563,718).</t>
  </si>
  <si>
    <t xml:space="preserve">All within rounding. The re-implementation reproduces the workbook formulas exactly.</t>
  </si>
  <si>
    <t xml:space="preserve">Reserves vs maintenance DMC (the bridge)</t>
  </si>
  <si>
    <t xml:space="preserve">Reserves provision for heavy/restorative events only; they exclude line and routine on-wing maintenance, typically ~20-25% of total maintenance DMC. The module's maint_per_bh is total airframe+engine DMC. The "Bridged total $/FH" column grosses the reserve up by the bridge factor on the comparison sheet (default 78%, i.e. reserve / 0.78).</t>
  </si>
  <si>
    <t xml:space="preserve">Read-out</t>
  </si>
  <si>
    <t xml:space="preserve">Narrowbody anchors (A319/A320/A321, ceo+neo): module within ~10-20% of bridged Airbus; broadly validated.</t>
  </si>
  <si>
    <t xml:space="preserve">Widebody anchors (A330-300, A330-900neo, A350-900): Airbus reserves alone exceed the module figure; bridged, the module looks understated by ~30-50%.</t>
  </si>
  <si>
    <t xml:space="preserve">A321XLR: module used 1,100 with no clean data; booklet implies a lower per-FH figure at long sectors.</t>
  </si>
  <si>
    <t xml:space="preserve">Engine + LLP are 60-85% of the reserve, where a single blended anchor has least visibility; Airbus resolves them by specific engine variant.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</si>
</sst>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FCE4D6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</cols>
  <sheetData>
    <row r="1" customFormat="false" ht="16.15" hidden="false" customHeight="false" outlineLevel="0" collapsed="false">
      <c r="A1" s="1" t="s">
        <v>0</v>
      </c>
    </row>
    <row r="2" customFormat="false" ht="42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  <c r="G4" s="4" t="n">
        <v>0.78</v>
      </c>
    </row>
    <row r="6" customFormat="false" ht="23.8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</row>
    <row r="7" customFormat="false" ht="15" hidden="false" customHeight="false" outlineLevel="0" collapsed="false">
      <c r="A7" s="6" t="s">
        <v>14</v>
      </c>
      <c r="B7" s="7" t="s">
        <v>15</v>
      </c>
      <c r="C7" s="7" t="s">
        <v>16</v>
      </c>
      <c r="D7" s="8" t="n">
        <v>3330</v>
      </c>
      <c r="E7" s="8" t="n">
        <v>900</v>
      </c>
      <c r="F7" s="8" t="n">
        <v>959</v>
      </c>
      <c r="G7" s="9" t="n">
        <v>809</v>
      </c>
      <c r="H7" s="8" t="n">
        <v>667</v>
      </c>
      <c r="I7" s="10" t="n">
        <f aca="false">G7/E7</f>
        <v>0.898888888888889</v>
      </c>
      <c r="J7" s="11" t="n">
        <f aca="false">G7/$G$4</f>
        <v>1037.17948717949</v>
      </c>
      <c r="K7" s="10" t="n">
        <f aca="false">J7/E7</f>
        <v>1.15242165242165</v>
      </c>
    </row>
    <row r="8" customFormat="false" ht="15" hidden="false" customHeight="false" outlineLevel="0" collapsed="false">
      <c r="A8" s="6" t="s">
        <v>17</v>
      </c>
      <c r="B8" s="7" t="s">
        <v>18</v>
      </c>
      <c r="C8" s="7" t="s">
        <v>19</v>
      </c>
      <c r="D8" s="8" t="n">
        <v>3330</v>
      </c>
      <c r="E8" s="8" t="n">
        <v>1000</v>
      </c>
      <c r="F8" s="8" t="n">
        <v>999</v>
      </c>
      <c r="G8" s="9" t="n">
        <v>845</v>
      </c>
      <c r="H8" s="8" t="n">
        <v>701</v>
      </c>
      <c r="I8" s="10" t="n">
        <f aca="false">G8/E8</f>
        <v>0.845</v>
      </c>
      <c r="J8" s="11" t="n">
        <f aca="false">G8/$G$4</f>
        <v>1083.33333333333</v>
      </c>
      <c r="K8" s="10" t="n">
        <f aca="false">J8/E8</f>
        <v>1.08333333333333</v>
      </c>
    </row>
    <row r="9" customFormat="false" ht="15" hidden="false" customHeight="false" outlineLevel="0" collapsed="false">
      <c r="A9" s="6" t="s">
        <v>20</v>
      </c>
      <c r="B9" s="7" t="s">
        <v>21</v>
      </c>
      <c r="C9" s="7" t="s">
        <v>22</v>
      </c>
      <c r="D9" s="8" t="n">
        <v>3330</v>
      </c>
      <c r="E9" s="8" t="n">
        <v>960</v>
      </c>
      <c r="F9" s="8" t="n">
        <v>990</v>
      </c>
      <c r="G9" s="9" t="n">
        <v>827</v>
      </c>
      <c r="H9" s="8" t="n">
        <v>678</v>
      </c>
      <c r="I9" s="10" t="n">
        <f aca="false">G9/E9</f>
        <v>0.861458333333333</v>
      </c>
      <c r="J9" s="11" t="n">
        <f aca="false">G9/$G$4</f>
        <v>1060.25641025641</v>
      </c>
      <c r="K9" s="10" t="n">
        <f aca="false">J9/E9</f>
        <v>1.10443376068376</v>
      </c>
    </row>
    <row r="10" customFormat="false" ht="15" hidden="false" customHeight="false" outlineLevel="0" collapsed="false">
      <c r="A10" s="6" t="s">
        <v>20</v>
      </c>
      <c r="B10" s="7" t="s">
        <v>21</v>
      </c>
      <c r="C10" s="7" t="s">
        <v>23</v>
      </c>
      <c r="D10" s="8" t="n">
        <v>3330</v>
      </c>
      <c r="E10" s="8" t="n">
        <v>960</v>
      </c>
      <c r="F10" s="8" t="n">
        <v>971</v>
      </c>
      <c r="G10" s="9" t="n">
        <v>769</v>
      </c>
      <c r="H10" s="8" t="n">
        <v>628</v>
      </c>
      <c r="I10" s="10" t="n">
        <f aca="false">G10/E10</f>
        <v>0.801041666666667</v>
      </c>
      <c r="J10" s="11" t="n">
        <f aca="false">G10/$G$4</f>
        <v>985.897435897436</v>
      </c>
      <c r="K10" s="10" t="n">
        <f aca="false">J10/E10</f>
        <v>1.0269764957265</v>
      </c>
    </row>
    <row r="11" customFormat="false" ht="15" hidden="false" customHeight="false" outlineLevel="0" collapsed="false">
      <c r="A11" s="6" t="s">
        <v>24</v>
      </c>
      <c r="B11" s="7" t="s">
        <v>25</v>
      </c>
      <c r="C11" s="7" t="s">
        <v>26</v>
      </c>
      <c r="D11" s="8" t="n">
        <v>3330</v>
      </c>
      <c r="E11" s="8" t="n">
        <v>1100</v>
      </c>
      <c r="F11" s="8" t="n">
        <v>1193</v>
      </c>
      <c r="G11" s="9" t="n">
        <v>912</v>
      </c>
      <c r="H11" s="8" t="n">
        <v>844</v>
      </c>
      <c r="I11" s="10" t="n">
        <f aca="false">G11/E11</f>
        <v>0.829090909090909</v>
      </c>
      <c r="J11" s="11" t="n">
        <f aca="false">G11/$G$4</f>
        <v>1169.23076923077</v>
      </c>
      <c r="K11" s="10" t="n">
        <f aca="false">J11/E11</f>
        <v>1.06293706293706</v>
      </c>
    </row>
    <row r="12" customFormat="false" ht="15" hidden="false" customHeight="false" outlineLevel="0" collapsed="false">
      <c r="A12" s="6" t="s">
        <v>27</v>
      </c>
      <c r="B12" s="7" t="s">
        <v>28</v>
      </c>
      <c r="C12" s="7" t="s">
        <v>29</v>
      </c>
      <c r="D12" s="8" t="n">
        <v>3330</v>
      </c>
      <c r="E12" s="8" t="n">
        <v>1050</v>
      </c>
      <c r="F12" s="8" t="n">
        <v>1264</v>
      </c>
      <c r="G12" s="9" t="n">
        <v>949</v>
      </c>
      <c r="H12" s="8" t="n">
        <v>873</v>
      </c>
      <c r="I12" s="10" t="n">
        <f aca="false">G12/E12</f>
        <v>0.903809523809524</v>
      </c>
      <c r="J12" s="11" t="n">
        <f aca="false">G12/$G$4</f>
        <v>1216.66666666667</v>
      </c>
      <c r="K12" s="10" t="n">
        <f aca="false">J12/E12</f>
        <v>1.15873015873016</v>
      </c>
    </row>
    <row r="13" customFormat="false" ht="15" hidden="false" customHeight="false" outlineLevel="0" collapsed="false">
      <c r="A13" s="6" t="s">
        <v>27</v>
      </c>
      <c r="B13" s="7" t="s">
        <v>28</v>
      </c>
      <c r="C13" s="7" t="s">
        <v>30</v>
      </c>
      <c r="D13" s="8" t="n">
        <v>3330</v>
      </c>
      <c r="E13" s="8" t="n">
        <v>1050</v>
      </c>
      <c r="F13" s="8" t="n">
        <v>1359</v>
      </c>
      <c r="G13" s="9" t="n">
        <v>995</v>
      </c>
      <c r="H13" s="8" t="n">
        <v>906</v>
      </c>
      <c r="I13" s="10" t="n">
        <f aca="false">G13/E13</f>
        <v>0.947619047619048</v>
      </c>
      <c r="J13" s="11" t="n">
        <f aca="false">G13/$G$4</f>
        <v>1275.64102564103</v>
      </c>
      <c r="K13" s="10" t="n">
        <f aca="false">J13/E13</f>
        <v>1.21489621489621</v>
      </c>
    </row>
    <row r="14" customFormat="false" ht="15" hidden="false" customHeight="false" outlineLevel="0" collapsed="false">
      <c r="A14" s="12" t="s">
        <v>31</v>
      </c>
      <c r="B14" s="13" t="s">
        <v>32</v>
      </c>
      <c r="C14" s="13" t="s">
        <v>33</v>
      </c>
      <c r="D14" s="14" t="n">
        <v>4872</v>
      </c>
      <c r="E14" s="14" t="n">
        <v>1100</v>
      </c>
      <c r="F14" s="14" t="n">
        <v>885</v>
      </c>
      <c r="G14" s="15" t="n">
        <v>724</v>
      </c>
      <c r="H14" s="14" t="n">
        <v>680</v>
      </c>
      <c r="I14" s="16" t="n">
        <f aca="false">G14/E14</f>
        <v>0.658181818181818</v>
      </c>
      <c r="J14" s="17" t="n">
        <f aca="false">G14/$G$4</f>
        <v>928.205128205128</v>
      </c>
      <c r="K14" s="16" t="n">
        <f aca="false">J14/E14</f>
        <v>0.843822843822844</v>
      </c>
    </row>
    <row r="15" customFormat="false" ht="15" hidden="false" customHeight="false" outlineLevel="0" collapsed="false">
      <c r="A15" s="12" t="s">
        <v>34</v>
      </c>
      <c r="B15" s="13" t="s">
        <v>35</v>
      </c>
      <c r="C15" s="13" t="s">
        <v>36</v>
      </c>
      <c r="D15" s="14" t="n">
        <v>4189</v>
      </c>
      <c r="E15" s="14" t="n">
        <v>964</v>
      </c>
      <c r="F15" s="14" t="n">
        <v>1588</v>
      </c>
      <c r="G15" s="15" t="n">
        <v>1235</v>
      </c>
      <c r="H15" s="14" t="n">
        <v>1118</v>
      </c>
      <c r="I15" s="16" t="n">
        <f aca="false">G15/E15</f>
        <v>1.28112033195021</v>
      </c>
      <c r="J15" s="17" t="n">
        <f aca="false">G15/$G$4</f>
        <v>1583.33333333333</v>
      </c>
      <c r="K15" s="16" t="n">
        <f aca="false">J15/E15</f>
        <v>1.64246196403873</v>
      </c>
    </row>
    <row r="16" customFormat="false" ht="15" hidden="false" customHeight="false" outlineLevel="0" collapsed="false">
      <c r="A16" s="12" t="s">
        <v>37</v>
      </c>
      <c r="B16" s="13" t="s">
        <v>38</v>
      </c>
      <c r="C16" s="13" t="s">
        <v>39</v>
      </c>
      <c r="D16" s="14" t="n">
        <v>4189</v>
      </c>
      <c r="E16" s="14" t="n">
        <v>1100</v>
      </c>
      <c r="F16" s="14" t="n">
        <v>2372</v>
      </c>
      <c r="G16" s="15" t="n">
        <v>1447</v>
      </c>
      <c r="H16" s="14" t="n">
        <v>1282</v>
      </c>
      <c r="I16" s="16" t="n">
        <f aca="false">G16/E16</f>
        <v>1.31545454545455</v>
      </c>
      <c r="J16" s="17" t="n">
        <f aca="false">G16/$G$4</f>
        <v>1855.12820512821</v>
      </c>
      <c r="K16" s="16" t="n">
        <f aca="false">J16/E16</f>
        <v>1.68648018648019</v>
      </c>
    </row>
    <row r="17" customFormat="false" ht="15" hidden="false" customHeight="false" outlineLevel="0" collapsed="false">
      <c r="A17" s="12" t="s">
        <v>40</v>
      </c>
      <c r="B17" s="13" t="s">
        <v>41</v>
      </c>
      <c r="C17" s="13" t="s">
        <v>42</v>
      </c>
      <c r="D17" s="14" t="n">
        <v>5049</v>
      </c>
      <c r="E17" s="14" t="n">
        <v>1200</v>
      </c>
      <c r="F17" s="14" t="n">
        <v>1543</v>
      </c>
      <c r="G17" s="15" t="n">
        <v>1391</v>
      </c>
      <c r="H17" s="14" t="n">
        <v>1286</v>
      </c>
      <c r="I17" s="16" t="n">
        <f aca="false">G17/E17</f>
        <v>1.15916666666667</v>
      </c>
      <c r="J17" s="17" t="n">
        <f aca="false">G17/$G$4</f>
        <v>1783.33333333333</v>
      </c>
      <c r="K17" s="16" t="n">
        <f aca="false">J17/E17</f>
        <v>1.48611111111111</v>
      </c>
    </row>
    <row r="19" customFormat="false" ht="30" hidden="false" customHeight="true" outlineLevel="0" collapsed="false">
      <c r="A19" s="2" t="s">
        <v>43</v>
      </c>
      <c r="B19" s="2"/>
      <c r="C19" s="2"/>
      <c r="D19" s="2"/>
      <c r="E19" s="2"/>
      <c r="F19" s="2"/>
      <c r="G19" s="2"/>
      <c r="H19" s="2"/>
      <c r="I19" s="2"/>
      <c r="J19" s="2"/>
      <c r="K19" s="2"/>
    </row>
  </sheetData>
  <mergeCells count="3">
    <mergeCell ref="A2:K2"/>
    <mergeCell ref="A4:F4"/>
    <mergeCell ref="A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8" t="s">
        <v>44</v>
      </c>
    </row>
    <row r="2" customFormat="false" ht="15" hidden="false" customHeight="false" outlineLevel="0" collapsed="false">
      <c r="A2" s="19"/>
    </row>
    <row r="3" customFormat="false" ht="15" hidden="false" customHeight="false" outlineLevel="0" collapsed="false">
      <c r="A3" s="20" t="s">
        <v>45</v>
      </c>
    </row>
    <row r="4" customFormat="false" ht="30" hidden="false" customHeight="true" outlineLevel="0" collapsed="false">
      <c r="A4" s="19" t="s">
        <v>46</v>
      </c>
    </row>
    <row r="5" customFormat="false" ht="15" hidden="false" customHeight="false" outlineLevel="0" collapsed="false">
      <c r="A5" s="19"/>
    </row>
    <row r="6" customFormat="false" ht="15" hidden="false" customHeight="false" outlineLevel="0" collapsed="false">
      <c r="A6" s="20" t="s">
        <v>47</v>
      </c>
    </row>
    <row r="7" customFormat="false" ht="30" hidden="false" customHeight="true" outlineLevel="0" collapsed="false">
      <c r="A7" s="19" t="s">
        <v>48</v>
      </c>
    </row>
    <row r="8" customFormat="false" ht="30" hidden="false" customHeight="true" outlineLevel="0" collapsed="false">
      <c r="A8" s="19" t="s">
        <v>49</v>
      </c>
    </row>
    <row r="9" customFormat="false" ht="15" hidden="false" customHeight="false" outlineLevel="0" collapsed="false">
      <c r="A9" s="19"/>
    </row>
    <row r="10" customFormat="false" ht="15" hidden="false" customHeight="false" outlineLevel="0" collapsed="false">
      <c r="A10" s="20" t="s">
        <v>50</v>
      </c>
    </row>
    <row r="11" customFormat="false" ht="15" hidden="false" customHeight="false" outlineLevel="0" collapsed="false">
      <c r="A11" s="19" t="s">
        <v>51</v>
      </c>
    </row>
    <row r="12" customFormat="false" ht="15" hidden="false" customHeight="false" outlineLevel="0" collapsed="false">
      <c r="A12" s="19" t="s">
        <v>52</v>
      </c>
    </row>
    <row r="13" customFormat="false" ht="15" hidden="false" customHeight="false" outlineLevel="0" collapsed="false">
      <c r="A13" s="19" t="s">
        <v>53</v>
      </c>
    </row>
    <row r="14" customFormat="false" ht="15" hidden="false" customHeight="false" outlineLevel="0" collapsed="false">
      <c r="A14" s="19" t="s">
        <v>54</v>
      </c>
    </row>
    <row r="15" customFormat="false" ht="15" hidden="false" customHeight="false" outlineLevel="0" collapsed="false">
      <c r="A15" s="19"/>
    </row>
    <row r="16" customFormat="false" ht="15" hidden="false" customHeight="false" outlineLevel="0" collapsed="false">
      <c r="A16" s="20" t="s">
        <v>55</v>
      </c>
    </row>
    <row r="17" customFormat="false" ht="30" hidden="false" customHeight="true" outlineLevel="0" collapsed="false">
      <c r="A17" s="19" t="s">
        <v>56</v>
      </c>
    </row>
    <row r="18" customFormat="false" ht="15" hidden="false" customHeight="false" outlineLevel="0" collapsed="false">
      <c r="A18" s="19"/>
    </row>
    <row r="19" customFormat="false" ht="15" hidden="false" customHeight="false" outlineLevel="0" collapsed="false">
      <c r="A19" s="20" t="s">
        <v>57</v>
      </c>
    </row>
    <row r="20" customFormat="false" ht="30" hidden="false" customHeight="true" outlineLevel="0" collapsed="false">
      <c r="A20" s="19" t="s">
        <v>58</v>
      </c>
    </row>
    <row r="21" customFormat="false" ht="30" hidden="false" customHeight="true" outlineLevel="0" collapsed="false">
      <c r="A21" s="19" t="s">
        <v>59</v>
      </c>
    </row>
    <row r="22" customFormat="false" ht="30" hidden="false" customHeight="true" outlineLevel="0" collapsed="false">
      <c r="A22" s="19" t="s">
        <v>60</v>
      </c>
    </row>
    <row r="23" customFormat="false" ht="30" hidden="false" customHeight="true" outlineLevel="0" collapsed="false">
      <c r="A23" s="19" t="s">
        <v>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2026-06-27T09:53:58Z</dcterms:created>
  <dc:creator>Avia Solutions</dc:creator>
  <dc:description/>
  <dc:language>en-US</dc:language>
  <cp:lastModifiedBy>Avia Solutions</cp:lastModifiedBy>
  <dcterms:modified xsi:type="dcterms:W3CDTF">2026-06-27T09:53:58Z</dcterms:modified>
  <cp:revision>0</cp:revision>
  <dc:subject/>
  <dc:title>Airbus maintenance reserves vs module anchors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