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wnership comparison" sheetId="1" state="visible" r:id="rId3"/>
    <sheet name="Method &amp; sourc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<sst xmlns="http://schemas.openxmlformats.org/spreadsheetml/2006/main" count="45" uniqueCount="38">
  <si>
    <t xml:space="preserve">Ownership leg: current OEM appraiser lease rates vs module ownership anchors</t>
  </si>
  <si>
    <t xml:space="preserve">ownership $/block-hour = monthly lease x 12 / annual utilisation. Lease rates: Airbus Appraiser Forum Dec 2025 (5-appraiser average), Boeing Financing Outlook Mar 2025. Values read from appraiser charts (representative, not to-the-dollar). Shown at the module util and at Cirium realistic util to expose the utilisation sensitivity.</t>
  </si>
  <si>
    <t xml:space="preserve">Type</t>
  </si>
  <si>
    <t xml:space="preserve">Current own $/BH</t>
  </si>
  <si>
    <t xml:space="preserve">Module util (BH/yr)</t>
  </si>
  <si>
    <t xml:space="preserve">Appraiser lease ($K/mo)</t>
  </si>
  <si>
    <t xml:space="preserve">Age basis</t>
  </si>
  <si>
    <t xml:space="preserve">Implied own $/BH (module util)</t>
  </si>
  <si>
    <t xml:space="preserve">vs current</t>
  </si>
  <si>
    <t xml:space="preserve">Cirium util</t>
  </si>
  <si>
    <t xml:space="preserve">Implied own $/BH (Cirium util)</t>
  </si>
  <si>
    <t xml:space="preserve">A319</t>
  </si>
  <si>
    <t xml:space="preserve">midlife ceo (out of prodn)</t>
  </si>
  <si>
    <t xml:space="preserve">A320</t>
  </si>
  <si>
    <t xml:space="preserve">ceo, ~5-8yr</t>
  </si>
  <si>
    <t xml:space="preserve">A20N</t>
  </si>
  <si>
    <t xml:space="preserve">new full-life</t>
  </si>
  <si>
    <t xml:space="preserve">A321</t>
  </si>
  <si>
    <t xml:space="preserve">A21N</t>
  </si>
  <si>
    <t xml:space="preserve">A21X</t>
  </si>
  <si>
    <t xml:space="preserve">A333</t>
  </si>
  <si>
    <t xml:space="preserve">ceo 10yr half-life</t>
  </si>
  <si>
    <t xml:space="preserve">A339</t>
  </si>
  <si>
    <t xml:space="preserve">A359</t>
  </si>
  <si>
    <t xml:space="preserve">B789</t>
  </si>
  <si>
    <t xml:space="preserve">B38M</t>
  </si>
  <si>
    <t xml:space="preserve">new</t>
  </si>
  <si>
    <t xml:space="preserve">Read: at the module's own utilisation, lease-derived ownership is much higher than the current anchors for new-gen narrowbody (neo). At Cirium realistic util the gap narrows to ~15-25%. The ownership number is therefore as much about the utilisation assumption as the lease rate. XLR and some ceo lease rates are estimated proxies (flagged). Boeing 777/767/757 not re-anchored (no clean current lease point).</t>
  </si>
  <si>
    <t xml:space="preserve">Method, sources and the lease-rate-factor age model</t>
  </si>
  <si>
    <t xml:space="preserve">Sources</t>
  </si>
  <si>
    <t xml:space="preserve">Airbus Appraiser &amp; Investor Forum, December 2025 - "Values &amp; Lease Rate Trends" (Egnyte 02 Knowledge/.../Airbus/Briefings/Dec 2025). 5-appraiser average opinions; full-life new and half-life 10-year. Current point values read from the appraiser charts.</t>
  </si>
  <si>
    <t xml:space="preserve">Boeing Aircraft Financing Outlook, March 2025 - European Consultant Conference (Egnyte .../Boeing/Conference Mar 2025). New-aircraft market value and lease-rate charts for 737-8, 787-9, 777F.</t>
  </si>
  <si>
    <t xml:space="preserve">DVB / Ascend "There is more to the LRF than meets the eye", July 2018 (in-house) - the lease-rate-factor method.</t>
  </si>
  <si>
    <t xml:space="preserve">Lease-rate-factor (LRF) age model</t>
  </si>
  <si>
    <t xml:space="preserve">LRF = monthly lease rental / day-one aircraft value. New liquid narrowbody ~0.75%; lessor loss-making floor ~0.65%. Components of the rental: economic depreciation ~50%, debt (swap ~16% + credit ~11%) ~25%, SG&amp;A ~6%, lessor margin ~17%. Economic depreciation = day-one value less full-life residual (B737-800 example: $44.0M new, $20.2M residual at 12yr, ~46%).</t>
  </si>
  <si>
    <t xml:space="preserve">Age adjustment: as an aircraft ages its value falls but its LRF rises (new 0.7-0.8%, used 0.8-1.5% per AviaAM bands), so the monthly lease falls more slowly than value. Anchors from the Airbus deck: A320neo new ~$400K/mo vs A320ceo 10yr ~$220K/mo; A330-900 new ~$900K/mo vs A330ceo 10yr ~$430K/mo. Implies lease roughly halves over ~10-12 years (~5%/yr).</t>
  </si>
  <si>
    <t xml:space="preserve">The utilisation sensitivity (the main finding)</t>
  </si>
  <si>
    <t xml:space="preserve">ownership $/block-hour = monthly lease x 12 / annual utilisation. The module currently assumes ~2,300 BH/yr for narrowbody; Cirium reports ~3,400 (9.3 BH/day). At 2,300 the lease-derived ownership for neo narrowbody is +60-85% over the current anchor; at 3,400 it is +18-25%. So the ownership leg cannot be re-anchored on lease rates alone without also setting a realistic utilisation. Decision point for John.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</si>
</sst>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+0%;\-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  <col collapsed="false" customWidth="true" hidden="false" outlineLevel="0" max="4" min="4" style="0" width="15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9"/>
  </cols>
  <sheetData>
    <row r="1" customFormat="false" ht="16.15" hidden="false" customHeight="false" outlineLevel="0" collapsed="false">
      <c r="A1" s="1" t="s">
        <v>0</v>
      </c>
    </row>
    <row r="2" customFormat="false" ht="5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8</v>
      </c>
    </row>
    <row r="5" customFormat="false" ht="15" hidden="false" customHeight="false" outlineLevel="0" collapsed="false">
      <c r="A5" s="4" t="s">
        <v>11</v>
      </c>
      <c r="B5" s="5" t="n">
        <v>700</v>
      </c>
      <c r="C5" s="5" t="n">
        <v>2300</v>
      </c>
      <c r="D5" s="5" t="n">
        <v>190</v>
      </c>
      <c r="E5" s="6" t="s">
        <v>12</v>
      </c>
      <c r="F5" s="5" t="n">
        <f aca="false">ROUND(D5*1000*12/C5,0)</f>
        <v>991</v>
      </c>
      <c r="G5" s="7" t="n">
        <f aca="false">F5/B5-1</f>
        <v>0.415714285714286</v>
      </c>
      <c r="H5" s="5" t="n">
        <v>3400</v>
      </c>
      <c r="I5" s="5" t="n">
        <f aca="false">ROUND(D5*1000*12/H5,0)</f>
        <v>671</v>
      </c>
      <c r="J5" s="7" t="n">
        <f aca="false">I5/B5-1</f>
        <v>-0.0414285714285715</v>
      </c>
    </row>
    <row r="6" customFormat="false" ht="15" hidden="false" customHeight="false" outlineLevel="0" collapsed="false">
      <c r="A6" s="4" t="s">
        <v>13</v>
      </c>
      <c r="B6" s="5" t="n">
        <v>900</v>
      </c>
      <c r="C6" s="5" t="n">
        <v>2300</v>
      </c>
      <c r="D6" s="5" t="n">
        <v>250</v>
      </c>
      <c r="E6" s="6" t="s">
        <v>14</v>
      </c>
      <c r="F6" s="5" t="n">
        <f aca="false">ROUND(D6*1000*12/C6,0)</f>
        <v>1304</v>
      </c>
      <c r="G6" s="7" t="n">
        <f aca="false">F6/B6-1</f>
        <v>0.448888888888889</v>
      </c>
      <c r="H6" s="5" t="n">
        <v>3400</v>
      </c>
      <c r="I6" s="5" t="n">
        <f aca="false">ROUND(D6*1000*12/H6,0)</f>
        <v>882</v>
      </c>
      <c r="J6" s="7" t="n">
        <f aca="false">I6/B6-1</f>
        <v>-0.02</v>
      </c>
    </row>
    <row r="7" customFormat="false" ht="15" hidden="false" customHeight="false" outlineLevel="0" collapsed="false">
      <c r="A7" s="4" t="s">
        <v>15</v>
      </c>
      <c r="B7" s="5" t="n">
        <v>1200</v>
      </c>
      <c r="C7" s="5" t="n">
        <v>2300</v>
      </c>
      <c r="D7" s="5" t="n">
        <v>400</v>
      </c>
      <c r="E7" s="6" t="s">
        <v>16</v>
      </c>
      <c r="F7" s="5" t="n">
        <f aca="false">ROUND(D7*1000*12/C7,0)</f>
        <v>2087</v>
      </c>
      <c r="G7" s="7" t="n">
        <f aca="false">F7/B7-1</f>
        <v>0.739166666666667</v>
      </c>
      <c r="H7" s="5" t="n">
        <v>3400</v>
      </c>
      <c r="I7" s="5" t="n">
        <f aca="false">ROUND(D7*1000*12/H7,0)</f>
        <v>1412</v>
      </c>
      <c r="J7" s="7" t="n">
        <f aca="false">I7/B7-1</f>
        <v>0.176666666666667</v>
      </c>
    </row>
    <row r="8" customFormat="false" ht="15" hidden="false" customHeight="false" outlineLevel="0" collapsed="false">
      <c r="A8" s="4" t="s">
        <v>17</v>
      </c>
      <c r="B8" s="5" t="n">
        <v>950</v>
      </c>
      <c r="C8" s="5" t="n">
        <v>2300</v>
      </c>
      <c r="D8" s="5" t="n">
        <v>290</v>
      </c>
      <c r="E8" s="6" t="s">
        <v>14</v>
      </c>
      <c r="F8" s="5" t="n">
        <f aca="false">ROUND(D8*1000*12/C8,0)</f>
        <v>1513</v>
      </c>
      <c r="G8" s="7" t="n">
        <f aca="false">F8/B8-1</f>
        <v>0.592631578947368</v>
      </c>
      <c r="H8" s="5" t="n">
        <v>3400</v>
      </c>
      <c r="I8" s="5" t="n">
        <f aca="false">ROUND(D8*1000*12/H8,0)</f>
        <v>1024</v>
      </c>
      <c r="J8" s="7" t="n">
        <f aca="false">I8/B8-1</f>
        <v>0.0778947368421052</v>
      </c>
    </row>
    <row r="9" customFormat="false" ht="15" hidden="false" customHeight="false" outlineLevel="0" collapsed="false">
      <c r="A9" s="4" t="s">
        <v>18</v>
      </c>
      <c r="B9" s="5" t="n">
        <v>1300</v>
      </c>
      <c r="C9" s="5" t="n">
        <v>2300</v>
      </c>
      <c r="D9" s="5" t="n">
        <v>460</v>
      </c>
      <c r="E9" s="6" t="s">
        <v>16</v>
      </c>
      <c r="F9" s="5" t="n">
        <f aca="false">ROUND(D9*1000*12/C9,0)</f>
        <v>2400</v>
      </c>
      <c r="G9" s="7" t="n">
        <f aca="false">F9/B9-1</f>
        <v>0.846153846153846</v>
      </c>
      <c r="H9" s="5" t="n">
        <v>3400</v>
      </c>
      <c r="I9" s="5" t="n">
        <f aca="false">ROUND(D9*1000*12/H9,0)</f>
        <v>1624</v>
      </c>
      <c r="J9" s="7" t="n">
        <f aca="false">I9/B9-1</f>
        <v>0.249230769230769</v>
      </c>
    </row>
    <row r="10" customFormat="false" ht="15" hidden="false" customHeight="false" outlineLevel="0" collapsed="false">
      <c r="A10" s="4" t="s">
        <v>19</v>
      </c>
      <c r="B10" s="5" t="n">
        <v>1500</v>
      </c>
      <c r="C10" s="5" t="n">
        <v>2400</v>
      </c>
      <c r="D10" s="5" t="n">
        <v>500</v>
      </c>
      <c r="E10" s="6" t="s">
        <v>16</v>
      </c>
      <c r="F10" s="5" t="n">
        <f aca="false">ROUND(D10*1000*12/C10,0)</f>
        <v>2500</v>
      </c>
      <c r="G10" s="7" t="n">
        <f aca="false">F10/B10-1</f>
        <v>0.666666666666667</v>
      </c>
      <c r="H10" s="5" t="n">
        <v>3400</v>
      </c>
      <c r="I10" s="5" t="n">
        <f aca="false">ROUND(D10*1000*12/H10,0)</f>
        <v>1765</v>
      </c>
      <c r="J10" s="7" t="n">
        <f aca="false">I10/B10-1</f>
        <v>0.176666666666667</v>
      </c>
    </row>
    <row r="11" customFormat="false" ht="15" hidden="false" customHeight="false" outlineLevel="0" collapsed="false">
      <c r="A11" s="8" t="s">
        <v>20</v>
      </c>
      <c r="B11" s="9" t="n">
        <v>1800</v>
      </c>
      <c r="C11" s="9" t="n">
        <v>3800</v>
      </c>
      <c r="D11" s="9" t="n">
        <v>440</v>
      </c>
      <c r="E11" s="10" t="s">
        <v>21</v>
      </c>
      <c r="F11" s="9" t="n">
        <f aca="false">ROUND(D11*1000*12/C11,0)</f>
        <v>1389</v>
      </c>
      <c r="G11" s="11" t="n">
        <f aca="false">F11/B11-1</f>
        <v>-0.228333333333333</v>
      </c>
      <c r="H11" s="9" t="n">
        <v>4950</v>
      </c>
      <c r="I11" s="9" t="n">
        <f aca="false">ROUND(D11*1000*12/H11,0)</f>
        <v>1067</v>
      </c>
      <c r="J11" s="11" t="n">
        <f aca="false">I11/B11-1</f>
        <v>-0.407222222222222</v>
      </c>
    </row>
    <row r="12" customFormat="false" ht="15" hidden="false" customHeight="false" outlineLevel="0" collapsed="false">
      <c r="A12" s="8" t="s">
        <v>22</v>
      </c>
      <c r="B12" s="9" t="n">
        <v>2600</v>
      </c>
      <c r="C12" s="9" t="n">
        <v>4000</v>
      </c>
      <c r="D12" s="9" t="n">
        <v>900</v>
      </c>
      <c r="E12" s="10" t="s">
        <v>16</v>
      </c>
      <c r="F12" s="9" t="n">
        <f aca="false">ROUND(D12*1000*12/C12,0)</f>
        <v>2700</v>
      </c>
      <c r="G12" s="11" t="n">
        <f aca="false">F12/B12-1</f>
        <v>0.0384615384615386</v>
      </c>
      <c r="H12" s="9" t="n">
        <v>4950</v>
      </c>
      <c r="I12" s="9" t="n">
        <f aca="false">ROUND(D12*1000*12/H12,0)</f>
        <v>2182</v>
      </c>
      <c r="J12" s="11" t="n">
        <f aca="false">I12/B12-1</f>
        <v>-0.160769230769231</v>
      </c>
    </row>
    <row r="13" customFormat="false" ht="15" hidden="false" customHeight="false" outlineLevel="0" collapsed="false">
      <c r="A13" s="8" t="s">
        <v>23</v>
      </c>
      <c r="B13" s="9" t="n">
        <v>2700</v>
      </c>
      <c r="C13" s="9" t="n">
        <v>4400</v>
      </c>
      <c r="D13" s="9" t="n">
        <v>1150</v>
      </c>
      <c r="E13" s="10" t="s">
        <v>16</v>
      </c>
      <c r="F13" s="9" t="n">
        <f aca="false">ROUND(D13*1000*12/C13,0)</f>
        <v>3136</v>
      </c>
      <c r="G13" s="11" t="n">
        <f aca="false">F13/B13-1</f>
        <v>0.161481481481482</v>
      </c>
      <c r="H13" s="9" t="n">
        <v>4950</v>
      </c>
      <c r="I13" s="9" t="n">
        <f aca="false">ROUND(D13*1000*12/H13,0)</f>
        <v>2788</v>
      </c>
      <c r="J13" s="11" t="n">
        <f aca="false">I13/B13-1</f>
        <v>0.0325925925925925</v>
      </c>
    </row>
    <row r="14" customFormat="false" ht="15" hidden="false" customHeight="false" outlineLevel="0" collapsed="false">
      <c r="A14" s="8" t="s">
        <v>24</v>
      </c>
      <c r="B14" s="9" t="n">
        <v>2500</v>
      </c>
      <c r="C14" s="9" t="n">
        <v>4300</v>
      </c>
      <c r="D14" s="9" t="n">
        <v>1050</v>
      </c>
      <c r="E14" s="10" t="s">
        <v>16</v>
      </c>
      <c r="F14" s="9" t="n">
        <f aca="false">ROUND(D14*1000*12/C14,0)</f>
        <v>2930</v>
      </c>
      <c r="G14" s="11" t="n">
        <f aca="false">F14/B14-1</f>
        <v>0.172</v>
      </c>
      <c r="H14" s="9" t="n">
        <v>4950</v>
      </c>
      <c r="I14" s="9" t="n">
        <f aca="false">ROUND(D14*1000*12/H14,0)</f>
        <v>2545</v>
      </c>
      <c r="J14" s="11" t="n">
        <f aca="false">I14/B14-1</f>
        <v>0.018</v>
      </c>
    </row>
    <row r="15" customFormat="false" ht="15" hidden="false" customHeight="false" outlineLevel="0" collapsed="false">
      <c r="A15" s="4" t="s">
        <v>25</v>
      </c>
      <c r="B15" s="5" t="n">
        <v>1300</v>
      </c>
      <c r="C15" s="5" t="n">
        <v>2300</v>
      </c>
      <c r="D15" s="5" t="n">
        <v>380</v>
      </c>
      <c r="E15" s="6" t="s">
        <v>26</v>
      </c>
      <c r="F15" s="5" t="n">
        <f aca="false">ROUND(D15*1000*12/C15,0)</f>
        <v>1983</v>
      </c>
      <c r="G15" s="7" t="n">
        <f aca="false">F15/B15-1</f>
        <v>0.525384615384615</v>
      </c>
      <c r="H15" s="5" t="n">
        <v>3400</v>
      </c>
      <c r="I15" s="5" t="n">
        <f aca="false">ROUND(D15*1000*12/H15,0)</f>
        <v>1341</v>
      </c>
      <c r="J15" s="7" t="n">
        <f aca="false">I15/B15-1</f>
        <v>0.0315384615384615</v>
      </c>
    </row>
    <row r="17" customFormat="false" ht="43.5" hidden="false" customHeight="true" outlineLevel="0" collapsed="false">
      <c r="A17" s="2" t="s">
        <v>27</v>
      </c>
      <c r="B17" s="2"/>
      <c r="C17" s="2"/>
      <c r="D17" s="2"/>
      <c r="E17" s="2"/>
      <c r="F17" s="2"/>
      <c r="G17" s="2"/>
      <c r="H17" s="2"/>
      <c r="I17" s="2"/>
      <c r="J17" s="2"/>
    </row>
  </sheetData>
  <mergeCells count="2">
    <mergeCell ref="A2:J2"/>
    <mergeCell ref="A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2" t="s">
        <v>28</v>
      </c>
    </row>
    <row r="2" customFormat="false" ht="15" hidden="false" customHeight="false" outlineLevel="0" collapsed="false">
      <c r="A2" s="13"/>
    </row>
    <row r="3" customFormat="false" ht="15" hidden="false" customHeight="false" outlineLevel="0" collapsed="false">
      <c r="A3" s="14" t="s">
        <v>29</v>
      </c>
    </row>
    <row r="4" customFormat="false" ht="30" hidden="false" customHeight="true" outlineLevel="0" collapsed="false">
      <c r="A4" s="13" t="s">
        <v>30</v>
      </c>
    </row>
    <row r="5" customFormat="false" ht="30" hidden="false" customHeight="true" outlineLevel="0" collapsed="false">
      <c r="A5" s="13" t="s">
        <v>31</v>
      </c>
    </row>
    <row r="6" customFormat="false" ht="30" hidden="false" customHeight="true" outlineLevel="0" collapsed="false">
      <c r="A6" s="13" t="s">
        <v>32</v>
      </c>
    </row>
    <row r="7" customFormat="false" ht="15" hidden="false" customHeight="false" outlineLevel="0" collapsed="false">
      <c r="A7" s="13"/>
    </row>
    <row r="8" customFormat="false" ht="15" hidden="false" customHeight="false" outlineLevel="0" collapsed="false">
      <c r="A8" s="14" t="s">
        <v>33</v>
      </c>
    </row>
    <row r="9" customFormat="false" ht="30" hidden="false" customHeight="true" outlineLevel="0" collapsed="false">
      <c r="A9" s="13" t="s">
        <v>34</v>
      </c>
    </row>
    <row r="10" customFormat="false" ht="30" hidden="false" customHeight="true" outlineLevel="0" collapsed="false">
      <c r="A10" s="13" t="s">
        <v>35</v>
      </c>
    </row>
    <row r="11" customFormat="false" ht="15" hidden="false" customHeight="false" outlineLevel="0" collapsed="false">
      <c r="A11" s="13"/>
    </row>
    <row r="12" customFormat="false" ht="15" hidden="false" customHeight="false" outlineLevel="0" collapsed="false">
      <c r="A12" s="14" t="s">
        <v>36</v>
      </c>
    </row>
    <row r="13" customFormat="false" ht="30" hidden="false" customHeight="true" outlineLevel="0" collapsed="false">
      <c r="A13" s="13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2026-06-27T10:10:56Z</dcterms:created>
  <dc:creator>Avia Solutions</dc:creator>
  <dc:description/>
  <dc:language>en-US</dc:language>
  <cp:lastModifiedBy>Avia Solutions</cp:lastModifiedBy>
  <dcterms:modified xsi:type="dcterms:W3CDTF">2026-06-27T10:10:56Z</dcterms:modified>
  <cp:revision>0</cp:revision>
  <dc:subject/>
  <dc:title>Ownership leg - appraiser lease rates vs module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